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Posities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Trends" sheetId="5" state="visible" r:id="rId5"/>
    <sheet xmlns:r="http://schemas.openxmlformats.org/officeDocument/2006/relationships" name="Uitle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8"/>
    </font>
    <font>
      <i val="1"/>
      <color rgb="0052514E"/>
      <sz val="1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4</row>
      <rowOff>0</rowOff>
    </from>
    <ext cx="8382000" cy="5029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</row>
      <rowOff>0</rowOff>
    </from>
    <ext cx="8382000" cy="50292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10</row>
      <rowOff>0</rowOff>
    </from>
    <ext cx="8382000" cy="50292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2026-10-10</t>
        </is>
      </c>
      <c r="B3" s="2" t="n">
        <v>9996.280000000001</v>
      </c>
      <c r="C3" s="2">
        <f>B3-B2</f>
        <v/>
      </c>
      <c r="D3" s="3">
        <f>B3/B2-1</f>
        <v/>
      </c>
      <c r="E3" s="3">
        <f>B3/$B$2-1</f>
        <v/>
      </c>
    </row>
    <row r="4">
      <c r="A4" t="inlineStr">
        <is>
          <t>2026-10-13</t>
        </is>
      </c>
      <c r="B4" s="2" t="n">
        <v>10014.42</v>
      </c>
      <c r="C4" s="2">
        <f>B4-B3</f>
        <v/>
      </c>
      <c r="D4" s="3">
        <f>B4/B3-1</f>
        <v/>
      </c>
      <c r="E4" s="3">
        <f>B4/$B$2-1</f>
        <v/>
      </c>
    </row>
    <row r="5">
      <c r="A5" t="inlineStr">
        <is>
          <t>2026-10-14</t>
        </is>
      </c>
      <c r="B5" s="2" t="n">
        <v>10026.44</v>
      </c>
      <c r="C5" s="2">
        <f>B5-B4</f>
        <v/>
      </c>
      <c r="D5" s="3">
        <f>B5/B4-1</f>
        <v/>
      </c>
      <c r="E5" s="3">
        <f>B5/$B$2-1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B10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128" customWidth="1" min="2" max="2"/>
  </cols>
  <sheetData>
    <row r="1" ht="28" customHeight="1">
      <c r="B1" s="6" t="inlineStr">
        <is>
          <t>Grafieken van vandaag</t>
        </is>
      </c>
    </row>
    <row r="2">
      <c r="B2" s="7" t="inlineStr">
        <is>
          <t>Scroll naar beneden: alle grafieken staan onder elkaar. Elke grafiek legt bovenaan in gewone taal uit hoe het ervoor staat, en onderaan hoe je hem leest.</t>
        </is>
      </c>
    </row>
    <row r="4" ht="26" customHeight="1">
      <c r="B4" s="8" t="inlineStr">
        <is>
          <t>1. Shell (SHELL.AS)</t>
        </is>
      </c>
    </row>
    <row r="5" ht="402" customHeight="1"/>
    <row r="6" ht="30" customHeight="1"/>
    <row r="7" ht="26" customHeight="1">
      <c r="B7" s="8" t="inlineStr">
        <is>
          <t>2. SAP (SAP.DE)</t>
        </is>
      </c>
    </row>
    <row r="8" ht="402" customHeight="1"/>
    <row r="9" ht="30" customHeight="1"/>
    <row r="10" ht="26" customHeight="1">
      <c r="B10" s="8" t="inlineStr">
        <is>
          <t>3. Microsoft (MSFT)</t>
        </is>
      </c>
    </row>
    <row r="11" ht="402" customHeight="1"/>
    <row r="12" ht="30" customHeight="1"/>
  </sheetData>
  <pageMargins left="0.75" right="0.75" top="1" bottom="1" header="0.5" footer="0.5"/>
  <pageSetup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7" customWidth="1" min="3" max="3"/>
    <col width="8" customWidth="1" min="4" max="4"/>
    <col width="12" customWidth="1" min="5" max="5"/>
    <col width="12" customWidth="1" min="6" max="6"/>
    <col width="7" customWidth="1" min="7" max="7"/>
    <col width="12" customWidth="1" min="8" max="8"/>
    <col width="14" customWidth="1" min="9" max="9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Regio</t>
        </is>
      </c>
      <c r="D1" s="1" t="inlineStr">
        <is>
          <t>Aantal</t>
        </is>
      </c>
      <c r="E1" s="1" t="inlineStr">
        <is>
          <t>Instapprijs</t>
        </is>
      </c>
      <c r="F1" s="1" t="inlineStr">
        <is>
          <t>Stop-loss</t>
        </is>
      </c>
      <c r="G1" s="1" t="inlineStr">
        <is>
          <t>Valuta</t>
        </is>
      </c>
      <c r="H1" s="1" t="inlineStr">
        <is>
          <t>Sinds</t>
        </is>
      </c>
      <c r="I1" s="1" t="inlineStr">
        <is>
          <t>Max verlies (€)</t>
        </is>
      </c>
    </row>
    <row r="2">
      <c r="A2" t="inlineStr">
        <is>
          <t>SHELL.AS</t>
        </is>
      </c>
      <c r="B2" t="inlineStr">
        <is>
          <t>Shell</t>
        </is>
      </c>
      <c r="C2" t="inlineStr">
        <is>
          <t>EU</t>
        </is>
      </c>
      <c r="D2" t="n">
        <v>13</v>
      </c>
      <c r="E2" t="n">
        <v>45.06</v>
      </c>
      <c r="F2" t="n">
        <v>43.73</v>
      </c>
      <c r="G2" t="inlineStr">
        <is>
          <t>EUR</t>
        </is>
      </c>
      <c r="H2" t="inlineStr">
        <is>
          <t>2026-10-10</t>
        </is>
      </c>
      <c r="I2" s="2" t="n">
        <v>24.67</v>
      </c>
    </row>
    <row r="3">
      <c r="A3" t="inlineStr">
        <is>
          <t>SAP.DE</t>
        </is>
      </c>
      <c r="B3" t="inlineStr">
        <is>
          <t>SAP</t>
        </is>
      </c>
      <c r="C3" t="inlineStr">
        <is>
          <t>EU</t>
        </is>
      </c>
      <c r="D3" t="n">
        <v>2</v>
      </c>
      <c r="E3" t="n">
        <v>191.56</v>
      </c>
      <c r="F3" t="n">
        <v>181.04</v>
      </c>
      <c r="G3" t="inlineStr">
        <is>
          <t>EUR</t>
        </is>
      </c>
      <c r="H3" t="inlineStr">
        <is>
          <t>2026-10-10</t>
        </is>
      </c>
      <c r="I3" s="2" t="n">
        <v>22.45</v>
      </c>
    </row>
    <row r="4">
      <c r="A4" t="inlineStr">
        <is>
          <t>MSFT</t>
        </is>
      </c>
      <c r="B4" t="inlineStr">
        <is>
          <t>Microsoft</t>
        </is>
      </c>
      <c r="C4" t="inlineStr">
        <is>
          <t>US</t>
        </is>
      </c>
      <c r="D4" t="n">
        <v>1</v>
      </c>
      <c r="E4" t="n">
        <v>535.34</v>
      </c>
      <c r="F4" t="n">
        <v>509.9</v>
      </c>
      <c r="G4" t="inlineStr">
        <is>
          <t>USD</t>
        </is>
      </c>
      <c r="H4" t="inlineStr">
        <is>
          <t>2026-10-10</t>
        </is>
      </c>
      <c r="I4" s="2" t="n">
        <v>23.7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8" customWidth="1" min="4" max="4"/>
    <col width="11" customWidth="1" min="5" max="5"/>
    <col width="12" customWidth="1" min="6" max="6"/>
    <col width="13" customWidth="1" min="7" max="7"/>
    <col width="11" customWidth="1" min="8" max="8"/>
    <col width="13" customWidth="1" min="9" max="9"/>
    <col width="70" customWidth="1" min="10" max="10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</t>
        </is>
      </c>
      <c r="F1" s="1" t="inlineStr">
        <is>
          <t>Valuta-koers</t>
        </is>
      </c>
      <c r="G1" s="1" t="inlineStr">
        <is>
          <t>Bedrag (€)</t>
        </is>
      </c>
      <c r="H1" s="1" t="inlineStr">
        <is>
          <t>Kosten (€)</t>
        </is>
      </c>
      <c r="I1" s="1" t="inlineStr">
        <is>
          <t>Resultaat (€)</t>
        </is>
      </c>
      <c r="J1" s="1" t="inlineStr">
        <is>
          <t>Reden</t>
        </is>
      </c>
    </row>
    <row r="2">
      <c r="A2" t="inlineStr">
        <is>
          <t>2026-10-10</t>
        </is>
      </c>
      <c r="B2" t="inlineStr">
        <is>
          <t>KOOP</t>
        </is>
      </c>
      <c r="C2" t="inlineStr">
        <is>
          <t>SHELL.AS</t>
        </is>
      </c>
      <c r="D2" t="n">
        <v>13</v>
      </c>
      <c r="E2" s="4" t="n">
        <v>45.0575</v>
      </c>
      <c r="F2" t="n">
        <v>1</v>
      </c>
      <c r="G2" s="2" t="n">
        <v>585.75</v>
      </c>
      <c r="H2" s="2" t="n">
        <v>1</v>
      </c>
      <c r="I2" s="2" t="n"/>
      <c r="J2" t="inlineStr">
        <is>
          <t>trend OK: 3m +23.4%, 1m +9.2%, volume x1.07</t>
        </is>
      </c>
    </row>
    <row r="3">
      <c r="A3" t="inlineStr">
        <is>
          <t>2026-10-10</t>
        </is>
      </c>
      <c r="B3" t="inlineStr">
        <is>
          <t>KOOP</t>
        </is>
      </c>
      <c r="C3" t="inlineStr">
        <is>
          <t>SAP.DE</t>
        </is>
      </c>
      <c r="D3" t="n">
        <v>2</v>
      </c>
      <c r="E3" s="4" t="n">
        <v>191.5557</v>
      </c>
      <c r="F3" t="n">
        <v>1</v>
      </c>
      <c r="G3" s="2" t="n">
        <v>383.11</v>
      </c>
      <c r="H3" s="2" t="n">
        <v>1</v>
      </c>
      <c r="I3" s="2" t="n"/>
      <c r="J3" t="inlineStr">
        <is>
          <t>trend OK: 3m +40.0%, 1m +7.7%, volume x0.83</t>
        </is>
      </c>
    </row>
    <row r="4">
      <c r="A4" t="inlineStr">
        <is>
          <t>2026-10-10</t>
        </is>
      </c>
      <c r="B4" t="inlineStr">
        <is>
          <t>KOOP</t>
        </is>
      </c>
      <c r="C4" t="inlineStr">
        <is>
          <t>MSFT</t>
        </is>
      </c>
      <c r="D4" t="n">
        <v>1</v>
      </c>
      <c r="E4" s="4" t="n">
        <v>535.3375</v>
      </c>
      <c r="F4" t="n">
        <v>0.8924</v>
      </c>
      <c r="G4" s="2" t="n">
        <v>477.74</v>
      </c>
      <c r="H4" s="2" t="n">
        <v>1</v>
      </c>
      <c r="I4" s="2" t="n"/>
      <c r="J4" t="inlineStr">
        <is>
          <t>trend OK: 3m +37.1%, 1m +8.7%, volume x0.82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7" customWidth="1" min="4" max="4"/>
    <col width="9" customWidth="1" min="5" max="5"/>
    <col width="11" customWidth="1" min="6" max="6"/>
    <col width="10" customWidth="1" min="7" max="7"/>
    <col width="20" customWidth="1" min="8" max="8"/>
    <col width="11" customWidth="1" min="9" max="9"/>
  </cols>
  <sheetData>
    <row r="1">
      <c r="A1" s="1" t="inlineStr">
        <is>
          <t>#</t>
        </is>
      </c>
      <c r="B1" s="1" t="inlineStr">
        <is>
          <t>Ticker</t>
        </is>
      </c>
      <c r="C1" s="1" t="inlineStr">
        <is>
          <t>Naam</t>
        </is>
      </c>
      <c r="D1" s="1" t="inlineStr">
        <is>
          <t>Regio</t>
        </is>
      </c>
      <c r="E1" s="1" t="inlineStr">
        <is>
          <t>Score</t>
        </is>
      </c>
      <c r="F1" s="1" t="inlineStr">
        <is>
          <t>3 maanden</t>
        </is>
      </c>
      <c r="G1" s="1" t="inlineStr">
        <is>
          <t>1 maand</t>
        </is>
      </c>
      <c r="H1" s="1" t="inlineStr">
        <is>
          <t>Volume t.o.v. normaal</t>
        </is>
      </c>
      <c r="I1" s="1" t="inlineStr">
        <is>
          <t>Slotkoers</t>
        </is>
      </c>
    </row>
    <row r="2">
      <c r="A2" t="n">
        <v>1</v>
      </c>
      <c r="B2" t="inlineStr">
        <is>
          <t>SHELL.AS</t>
        </is>
      </c>
      <c r="C2" t="inlineStr">
        <is>
          <t>Shell</t>
        </is>
      </c>
      <c r="D2" t="inlineStr">
        <is>
          <t>EU</t>
        </is>
      </c>
      <c r="E2" t="n">
        <v>0.155</v>
      </c>
      <c r="F2" s="3" t="n">
        <v>0.233556455119823</v>
      </c>
      <c r="G2" s="3" t="n">
        <v>0.0879391335134192</v>
      </c>
      <c r="H2" t="n">
        <v>1.04</v>
      </c>
      <c r="I2" t="n">
        <v>46.46</v>
      </c>
    </row>
    <row r="3">
      <c r="A3" t="n">
        <v>2</v>
      </c>
      <c r="B3" t="inlineStr">
        <is>
          <t>SAP.DE</t>
        </is>
      </c>
      <c r="C3" t="inlineStr">
        <is>
          <t>SAP</t>
        </is>
      </c>
      <c r="D3" t="inlineStr">
        <is>
          <t>EU</t>
        </is>
      </c>
      <c r="E3" t="n">
        <v>0.11</v>
      </c>
      <c r="F3" s="3" t="n">
        <v>0.4279292709978453</v>
      </c>
      <c r="G3" s="3" t="n">
        <v>0.05270472799789561</v>
      </c>
      <c r="H3" t="n">
        <v>0.82</v>
      </c>
      <c r="I3" t="n">
        <v>196.94</v>
      </c>
    </row>
    <row r="4">
      <c r="A4" t="n">
        <v>3</v>
      </c>
      <c r="B4" t="inlineStr">
        <is>
          <t>WKL.AS</t>
        </is>
      </c>
      <c r="C4" t="inlineStr">
        <is>
          <t>Wolters Kluwer</t>
        </is>
      </c>
      <c r="D4" t="inlineStr">
        <is>
          <t>EU</t>
        </is>
      </c>
      <c r="E4" t="n">
        <v>0.106</v>
      </c>
      <c r="F4" s="3" t="n">
        <v>0.2817908299691714</v>
      </c>
      <c r="G4" s="3" t="n">
        <v>0.1365753816502397</v>
      </c>
      <c r="H4" t="n">
        <v>1.17</v>
      </c>
      <c r="I4" t="n">
        <v>78.06</v>
      </c>
    </row>
    <row r="5">
      <c r="A5" t="n">
        <v>4</v>
      </c>
      <c r="B5" t="inlineStr">
        <is>
          <t>XLE</t>
        </is>
      </c>
      <c r="C5" t="inlineStr">
        <is>
          <t>Energie-ETF</t>
        </is>
      </c>
      <c r="D5" t="inlineStr">
        <is>
          <t>US</t>
        </is>
      </c>
      <c r="E5" t="n">
        <v>0.106</v>
      </c>
      <c r="F5" s="3" t="n">
        <v>0.1931250609053237</v>
      </c>
      <c r="G5" s="3" t="n">
        <v>0.03188213977858134</v>
      </c>
      <c r="H5" t="n">
        <v>1.08</v>
      </c>
      <c r="I5" t="n">
        <v>67.63</v>
      </c>
    </row>
    <row r="6">
      <c r="A6" t="n">
        <v>5</v>
      </c>
      <c r="B6" t="inlineStr">
        <is>
          <t>XOM</t>
        </is>
      </c>
      <c r="C6" t="inlineStr">
        <is>
          <t>ExxonMobil</t>
        </is>
      </c>
      <c r="D6" t="inlineStr">
        <is>
          <t>US</t>
        </is>
      </c>
      <c r="E6" t="n">
        <v>0.101</v>
      </c>
      <c r="F6" s="3" t="n">
        <v>0.2206657103115155</v>
      </c>
      <c r="G6" s="3" t="n">
        <v>0.04541688430175994</v>
      </c>
      <c r="H6" t="n">
        <v>0.95</v>
      </c>
      <c r="I6" t="n">
        <v>177.01</v>
      </c>
    </row>
    <row r="7">
      <c r="A7" t="n">
        <v>6</v>
      </c>
      <c r="B7" t="inlineStr">
        <is>
          <t>MSFT</t>
        </is>
      </c>
      <c r="C7" t="inlineStr">
        <is>
          <t>Microsoft</t>
        </is>
      </c>
      <c r="D7" t="inlineStr">
        <is>
          <t>US</t>
        </is>
      </c>
      <c r="E7" t="n">
        <v>0.093</v>
      </c>
      <c r="F7" s="3" t="n">
        <v>0.3330707534804345</v>
      </c>
      <c r="G7" s="3" t="n">
        <v>0.07356374252377029</v>
      </c>
      <c r="H7" t="n">
        <v>0.84</v>
      </c>
      <c r="I7" t="n">
        <v>533.6900000000001</v>
      </c>
    </row>
    <row r="8">
      <c r="A8" t="n">
        <v>7</v>
      </c>
      <c r="B8" t="inlineStr">
        <is>
          <t>TTE.PA</t>
        </is>
      </c>
      <c r="C8" t="inlineStr">
        <is>
          <t>TotalEnergies</t>
        </is>
      </c>
      <c r="D8" t="inlineStr">
        <is>
          <t>EU</t>
        </is>
      </c>
      <c r="E8" t="n">
        <v>0.08</v>
      </c>
      <c r="F8" s="3" t="n">
        <v>0.1502569075617706</v>
      </c>
      <c r="G8" s="3" t="n">
        <v>0.007635966783434256</v>
      </c>
      <c r="H8" t="n">
        <v>1.12</v>
      </c>
      <c r="I8" t="n">
        <v>80.17</v>
      </c>
    </row>
    <row r="9">
      <c r="A9" t="n">
        <v>8</v>
      </c>
      <c r="B9" t="inlineStr">
        <is>
          <t>PLTR</t>
        </is>
      </c>
      <c r="C9" t="inlineStr">
        <is>
          <t>Palantir</t>
        </is>
      </c>
      <c r="D9" t="inlineStr">
        <is>
          <t>US</t>
        </is>
      </c>
      <c r="E9" t="n">
        <v>0.076</v>
      </c>
      <c r="F9" s="3" t="n">
        <v>0.4948675808622736</v>
      </c>
      <c r="G9" s="3" t="n">
        <v>0.1646384101996907</v>
      </c>
      <c r="H9" t="n">
        <v>0.71</v>
      </c>
      <c r="I9" t="n">
        <v>200.97</v>
      </c>
    </row>
    <row r="10">
      <c r="A10" t="n">
        <v>9</v>
      </c>
      <c r="B10" t="inlineStr">
        <is>
          <t>META</t>
        </is>
      </c>
      <c r="C10" t="inlineStr">
        <is>
          <t>Meta Platforms</t>
        </is>
      </c>
      <c r="D10" t="inlineStr">
        <is>
          <t>US</t>
        </is>
      </c>
      <c r="E10" t="n">
        <v>0.053</v>
      </c>
      <c r="F10" s="3" t="n">
        <v>0.1107263312675328</v>
      </c>
      <c r="G10" s="3" t="n">
        <v>0.101280166976637</v>
      </c>
      <c r="H10" t="n">
        <v>1.16</v>
      </c>
      <c r="I10" t="n">
        <v>737.54</v>
      </c>
    </row>
    <row r="11">
      <c r="A11" t="n">
        <v>10</v>
      </c>
      <c r="B11" t="inlineStr">
        <is>
          <t>V</t>
        </is>
      </c>
      <c r="C11" t="inlineStr">
        <is>
          <t>Visa</t>
        </is>
      </c>
      <c r="D11" t="inlineStr">
        <is>
          <t>US</t>
        </is>
      </c>
      <c r="E11" t="n">
        <v>0.052</v>
      </c>
      <c r="F11" s="3" t="n">
        <v>0.07399126212527274</v>
      </c>
      <c r="G11" s="3" t="n">
        <v>0.04209040456874846</v>
      </c>
      <c r="H11" t="n">
        <v>1</v>
      </c>
      <c r="I11" t="n">
        <v>391.43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5" t="inlineStr">
        <is>
          <t>Dit is een oefenportefeuille. Er is geen echt geld gebruikt. Geen beleggingsadvies.</t>
        </is>
      </c>
    </row>
    <row r="3">
      <c r="A3" t="inlineStr">
        <is>
          <t>Waarde</t>
        </is>
      </c>
      <c r="B3" s="5" t="inlineStr">
        <is>
          <t>Kas plus de waarde van alle posities, omgerekend naar euro.</t>
        </is>
      </c>
    </row>
    <row r="4">
      <c r="A4" t="inlineStr">
        <is>
          <t>Stop-loss</t>
        </is>
      </c>
      <c r="B4" s="5" t="inlineStr">
        <is>
          <t>Koers waarop de agent automatisch verkoopt om verlies te beperken. Schuift mee omhoog als het goed gaat.</t>
        </is>
      </c>
    </row>
    <row r="5">
      <c r="A5" t="inlineStr">
        <is>
          <t>Max verlies (€)</t>
        </is>
      </c>
      <c r="B5" s="5" t="inlineStr">
        <is>
          <t>Wat de positie kost als de beginstop wordt geraakt, inclusief kosten.</t>
        </is>
      </c>
    </row>
    <row r="6">
      <c r="A6" t="inlineStr">
        <is>
          <t>Score</t>
        </is>
      </c>
      <c r="B6" s="5" t="inlineStr">
        <is>
          <t>Trendsterkte: rendement over 1 en 3 maanden gedeeld door beweeglijkheid. Hoger = sterker en rustiger.</t>
        </is>
      </c>
    </row>
    <row r="7">
      <c r="A7" t="inlineStr">
        <is>
          <t>Volume t.o.v. normaal</t>
        </is>
      </c>
      <c r="B7" s="5" t="inlineStr">
        <is>
          <t>Handel van de laatste 20 dagen gedeeld door de laatste 60. Boven 1 = meer belangstelling.</t>
        </is>
      </c>
    </row>
    <row r="8">
      <c r="A8" t="inlineStr">
        <is>
          <t>Resultaat (€)</t>
        </is>
      </c>
      <c r="B8" s="5" t="inlineStr">
        <is>
          <t>Winst of verlies van een afgesloten trade, na alle kosten.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2026-10-14T21:08:11Z</dcterms:created>
  <dcterms:modified xmlns:dcterms="http://purl.org/dc/terms/" xmlns:xsi="http://www.w3.org/2001/XMLSchema-instance" xsi:type="dcterms:W3CDTF">2026-10-14T21:08:13Z</dcterms:modified>
</cp:coreProperties>
</file>