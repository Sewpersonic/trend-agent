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Positie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Trends" sheetId="5" state="visible" r:id="rId5"/>
    <sheet xmlns:r="http://schemas.openxmlformats.org/officeDocument/2006/relationships" name="Uitleg" sheetId="6" state="visible" r:id="rId6"/>
    <sheet xmlns:r="http://schemas.openxmlformats.org/officeDocument/2006/relationships" name="Grafiekdata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 #,##0.00;[Red]-€ #,##0.00"/>
    <numFmt numFmtId="165" formatCode="0.00%;[Red]-0.0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i val="1"/>
      <color rgb="0052514E"/>
      <sz val="11"/>
    </font>
    <font>
      <b val="1"/>
      <color rgb="000B0B0B"/>
      <sz val="14"/>
    </font>
    <font>
      <color rgb="0052514E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lineChart>
        <grouping val="standard"/>
        <ser>
          <idx val="0"/>
          <order val="0"/>
          <tx>
            <strRef>
              <f>'Grafiekdata'!B1</f>
            </strRef>
          </tx>
          <spPr>
            <a:ln xmlns:a="http://schemas.openxmlformats.org/drawingml/2006/main" w="3492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'Grafiekdata'!$B$2:$B$66</f>
            </numRef>
          </val>
          <smooth val="0"/>
        </ser>
        <ser>
          <idx val="1"/>
          <order val="1"/>
          <tx>
            <strRef>
              <f>'Grafiekdata'!C1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'Grafiekdata'!$C$2:$C$66</f>
            </numRef>
          </val>
          <smooth val="0"/>
        </ser>
        <ser>
          <idx val="2"/>
          <order val="2"/>
          <tx>
            <strRef>
              <f>'Grafiekdata'!D1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'Grafiekdata'!$D$2:$D$66</f>
            </numRef>
          </val>
          <smooth val="0"/>
        </ser>
        <ser>
          <idx val="3"/>
          <order val="3"/>
          <tx>
            <strRef>
              <f>'Grafiekdata'!E1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'Grafiekdata'!$E$2:$E$66</f>
            </numRef>
          </val>
          <smooth val="0"/>
        </ser>
        <ser>
          <idx val="4"/>
          <order val="4"/>
          <tx>
            <strRef>
              <f>'Grafiekdata'!F1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'Grafiekdata'!$A$2:$A$66</f>
            </numRef>
          </cat>
          <val>
            <numRef>
              <f>'Grafiekdata'!$F$2:$F$66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47.5"/>
          <min val="32.5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.00" sourceLinked="0"/>
        <majorTickMark val="none"/>
        <minorTickMark val="none"/>
        <crossAx val="10"/>
        <majorUnit val="2.5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lineChart>
        <grouping val="standard"/>
        <ser>
          <idx val="0"/>
          <order val="0"/>
          <tx>
            <strRef>
              <f>'Grafiekdata'!I1</f>
            </strRef>
          </tx>
          <spPr>
            <a:ln xmlns:a="http://schemas.openxmlformats.org/drawingml/2006/main" w="3492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'Grafiekdata'!$H$2:$H$66</f>
            </numRef>
          </cat>
          <val>
            <numRef>
              <f>'Grafiekdata'!$I$2:$I$66</f>
            </numRef>
          </val>
          <smooth val="0"/>
        </ser>
        <ser>
          <idx val="1"/>
          <order val="1"/>
          <tx>
            <strRef>
              <f>'Grafiekdata'!J1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'Grafiekdata'!$H$2:$H$66</f>
            </numRef>
          </cat>
          <val>
            <numRef>
              <f>'Grafiekdata'!$J$2:$J$66</f>
            </numRef>
          </val>
          <smooth val="0"/>
        </ser>
        <ser>
          <idx val="2"/>
          <order val="2"/>
          <tx>
            <strRef>
              <f>'Grafiekdata'!K1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'Grafiekdata'!$H$2:$H$66</f>
            </numRef>
          </cat>
          <val>
            <numRef>
              <f>'Grafiekdata'!$K$2:$K$66</f>
            </numRef>
          </val>
          <smooth val="0"/>
        </ser>
        <ser>
          <idx val="3"/>
          <order val="3"/>
          <tx>
            <strRef>
              <f>'Grafiekdata'!L1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'Grafiekdata'!$H$2:$H$66</f>
            </numRef>
          </cat>
          <val>
            <numRef>
              <f>'Grafiekdata'!$L$2:$L$66</f>
            </numRef>
          </val>
          <smooth val="0"/>
        </ser>
        <ser>
          <idx val="4"/>
          <order val="4"/>
          <tx>
            <strRef>
              <f>'Grafiekdata'!M1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'Grafiekdata'!$H$2:$H$66</f>
            </numRef>
          </cat>
          <val>
            <numRef>
              <f>'Grafiekdata'!$M$2:$M$66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20"/>
          <min val="12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EUR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2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layout>
        <manualLayout>
          <wMode val="factor"/>
          <hMode val="factor"/>
          <x val="0.02"/>
          <y val="0.03"/>
          <w val="0.96"/>
          <h val="0.8"/>
        </manualLayout>
      </layout>
      <lineChart>
        <grouping val="standard"/>
        <ser>
          <idx val="0"/>
          <order val="0"/>
          <tx>
            <strRef>
              <f>'Grafiekdata'!P1</f>
            </strRef>
          </tx>
          <spPr>
            <a:ln xmlns:a="http://schemas.openxmlformats.org/drawingml/2006/main" w="34925">
              <a:solidFill>
                <a:srgbClr val="0B0B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'Grafiekdata'!$O$2:$O$66</f>
            </numRef>
          </cat>
          <val>
            <numRef>
              <f>'Grafiekdata'!$P$2:$P$66</f>
            </numRef>
          </val>
          <smooth val="0"/>
        </ser>
        <ser>
          <idx val="1"/>
          <order val="1"/>
          <tx>
            <strRef>
              <f>'Grafiekdata'!Q1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'Grafiekdata'!$O$2:$O$66</f>
            </numRef>
          </cat>
          <val>
            <numRef>
              <f>'Grafiekdata'!$Q$2:$Q$66</f>
            </numRef>
          </val>
          <smooth val="0"/>
        </ser>
        <ser>
          <idx val="2"/>
          <order val="2"/>
          <tx>
            <strRef>
              <f>'Grafiekdata'!R1</f>
            </strRef>
          </tx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'Grafiekdata'!$O$2:$O$66</f>
            </numRef>
          </cat>
          <val>
            <numRef>
              <f>'Grafiekdata'!$R$2:$R$66</f>
            </numRef>
          </val>
          <smooth val="0"/>
        </ser>
        <ser>
          <idx val="3"/>
          <order val="3"/>
          <tx>
            <strRef>
              <f>'Grafiekdata'!S1</f>
            </strRef>
          </tx>
          <spPr>
            <a:ln xmlns:a="http://schemas.openxmlformats.org/drawingml/2006/main" w="19050">
              <a:solidFill>
                <a:srgbClr val="52514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'Grafiekdata'!$O$2:$O$66</f>
            </numRef>
          </cat>
          <val>
            <numRef>
              <f>'Grafiekdata'!$S$2:$S$66</f>
            </numRef>
          </val>
          <smooth val="0"/>
        </ser>
        <ser>
          <idx val="4"/>
          <order val="4"/>
          <tx>
            <strRef>
              <f>'Grafiekdata'!T1</f>
            </strRef>
          </tx>
          <spPr>
            <a:ln xmlns:a="http://schemas.openxmlformats.org/drawingml/2006/main" w="22225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'Grafiekdata'!$O$2:$O$66</f>
            </numRef>
          </cat>
          <val>
            <numRef>
              <f>'Grafiekdata'!$T$2:$T$66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600"/>
          <min val="350"/>
        </scaling>
        <delete val="0"/>
        <axPos val="l"/>
        <majorGridlines>
          <spPr>
            <a:ln xmlns:a="http://schemas.openxmlformats.org/drawingml/2006/main">
              <a:solidFill>
                <a:srgbClr val="E6E5E1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koers USD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36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35</row>
      <rowOff>0</rowOff>
    </from>
    <ext cx="9360000" cy="41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64</row>
      <rowOff>0</rowOff>
    </from>
    <ext cx="9360000" cy="41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</cols>
  <sheetData>
    <row r="1">
      <c r="A1" s="1" t="inlineStr">
        <is>
          <t>Datum</t>
        </is>
      </c>
      <c r="B1" s="1" t="inlineStr">
        <is>
          <t>Waarde</t>
        </is>
      </c>
      <c r="C1" s="1" t="inlineStr">
        <is>
          <t>Dagresultaat</t>
        </is>
      </c>
      <c r="D1" s="1" t="inlineStr">
        <is>
          <t>Dag %</t>
        </is>
      </c>
      <c r="E1" s="1" t="inlineStr">
        <is>
          <t>Totaal %</t>
        </is>
      </c>
    </row>
    <row r="2">
      <c r="A2" t="inlineStr">
        <is>
          <t>start</t>
        </is>
      </c>
      <c r="B2" s="2" t="n">
        <v>10000</v>
      </c>
      <c r="E2" s="3">
        <f>B2/$B$2-1</f>
        <v/>
      </c>
    </row>
    <row r="3">
      <c r="A3" t="inlineStr">
        <is>
          <t>2026-10-10</t>
        </is>
      </c>
      <c r="B3" s="2" t="n">
        <v>9996.280000000001</v>
      </c>
      <c r="C3" s="2">
        <f>B3-B2</f>
        <v/>
      </c>
      <c r="D3" s="3">
        <f>B3/B2-1</f>
        <v/>
      </c>
      <c r="E3" s="3">
        <f>B3/$B$2-1</f>
        <v/>
      </c>
    </row>
    <row r="4">
      <c r="A4" t="inlineStr">
        <is>
          <t>2026-10-13</t>
        </is>
      </c>
      <c r="B4" s="2" t="n">
        <v>10014.42</v>
      </c>
      <c r="C4" s="2">
        <f>B4-B3</f>
        <v/>
      </c>
      <c r="D4" s="3">
        <f>B4/B3-1</f>
        <v/>
      </c>
      <c r="E4" s="3">
        <f>B4/$B$2-1</f>
        <v/>
      </c>
    </row>
    <row r="5">
      <c r="A5" t="inlineStr">
        <is>
          <t>2026-10-14</t>
        </is>
      </c>
      <c r="B5" s="2" t="n">
        <v>10026.55</v>
      </c>
      <c r="C5" s="2">
        <f>B5-B4</f>
        <v/>
      </c>
      <c r="D5" s="3">
        <f>B5/B4-1</f>
        <v/>
      </c>
      <c r="E5" s="3">
        <f>B5/$B$2-1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5" customWidth="1" min="2" max="2"/>
  </cols>
  <sheetData>
    <row r="1" ht="28" customHeight="1">
      <c r="B1" s="6" t="inlineStr">
        <is>
          <t>Grafieken van vandaag</t>
        </is>
      </c>
    </row>
    <row r="2" ht="32" customHeight="1">
      <c r="B2" s="7" t="inlineStr">
        <is>
          <t>Scroll naar beneden: alle grafieken staan onder elkaar. Ga met de muis over een lijn om de waarde te zien. Zwarte lijn = koers, blauw = gemiddelde van 50 dagen, oranje = van 200 dagen, rode stippellijn = stop-loss (daar verkoopt de bot).</t>
        </is>
      </c>
    </row>
    <row r="4" ht="24" customHeight="1">
      <c r="B4" s="8" t="inlineStr">
        <is>
          <t>1. Shell (SHELL.AS)  ·  46,46 EUR</t>
        </is>
      </c>
    </row>
    <row r="5">
      <c r="B5" s="9" t="inlineStr">
        <is>
          <t>Gestegen: 26,0% in de laatste 3 maanden. Stijgende trend: de koers staat boven beide gemiddelden.</t>
        </is>
      </c>
    </row>
    <row r="6">
      <c r="B6" s="9" t="inlineStr">
        <is>
          <t>Sinds de bot kocht: +3,1% (winst). De bot verkoopt als de koers onder 43,73 zakt (-5,9%).</t>
        </is>
      </c>
    </row>
    <row r="33" ht="24" customHeight="1">
      <c r="B33" s="8" t="inlineStr">
        <is>
          <t>2. SAP (SAP.DE)  ·  196,94 EUR</t>
        </is>
      </c>
    </row>
    <row r="34">
      <c r="B34" s="9" t="inlineStr">
        <is>
          <t>Gestegen: 43,1% in de laatste 3 maanden. Stijgende trend: de koers staat boven beide gemiddelden.</t>
        </is>
      </c>
    </row>
    <row r="35">
      <c r="B35" s="9" t="inlineStr">
        <is>
          <t>Sinds de bot kocht: +2,8% (winst). De bot verkoopt als de koers onder 181,04 zakt (-8,1%).</t>
        </is>
      </c>
    </row>
    <row r="62" ht="24" customHeight="1">
      <c r="B62" s="8" t="inlineStr">
        <is>
          <t>3. Microsoft (MSFT)  ·  533,69 USD</t>
        </is>
      </c>
    </row>
    <row r="63">
      <c r="B63" s="9" t="inlineStr">
        <is>
          <t>Gestegen: 35,2% in de laatste 3 maanden. Stijgende trend: de koers staat boven beide gemiddelden.</t>
        </is>
      </c>
    </row>
    <row r="64">
      <c r="B64" s="9" t="inlineStr">
        <is>
          <t>Sinds de bot kocht: -0,3% (verlies). De bot verkoopt als de koers onder 509,90 zakt (-4,5%).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7" customWidth="1" min="3" max="3"/>
    <col width="8" customWidth="1" min="4" max="4"/>
    <col width="12" customWidth="1" min="5" max="5"/>
    <col width="12" customWidth="1" min="6" max="6"/>
    <col width="7" customWidth="1" min="7" max="7"/>
    <col width="12" customWidth="1" min="8" max="8"/>
    <col width="14" customWidth="1" min="9" max="9"/>
  </cols>
  <sheetData>
    <row r="1">
      <c r="A1" s="1" t="inlineStr">
        <is>
          <t>Ticker</t>
        </is>
      </c>
      <c r="B1" s="1" t="inlineStr">
        <is>
          <t>Naam</t>
        </is>
      </c>
      <c r="C1" s="1" t="inlineStr">
        <is>
          <t>Regio</t>
        </is>
      </c>
      <c r="D1" s="1" t="inlineStr">
        <is>
          <t>Aantal</t>
        </is>
      </c>
      <c r="E1" s="1" t="inlineStr">
        <is>
          <t>Instapprijs</t>
        </is>
      </c>
      <c r="F1" s="1" t="inlineStr">
        <is>
          <t>Stop-loss</t>
        </is>
      </c>
      <c r="G1" s="1" t="inlineStr">
        <is>
          <t>Valuta</t>
        </is>
      </c>
      <c r="H1" s="1" t="inlineStr">
        <is>
          <t>Sinds</t>
        </is>
      </c>
      <c r="I1" s="1" t="inlineStr">
        <is>
          <t>Max verlies (€)</t>
        </is>
      </c>
    </row>
    <row r="2">
      <c r="A2" t="inlineStr">
        <is>
          <t>SHELL.AS</t>
        </is>
      </c>
      <c r="B2" t="inlineStr">
        <is>
          <t>Shell</t>
        </is>
      </c>
      <c r="C2" t="inlineStr">
        <is>
          <t>EU</t>
        </is>
      </c>
      <c r="D2" t="n">
        <v>13</v>
      </c>
      <c r="E2" t="n">
        <v>45.06</v>
      </c>
      <c r="F2" t="n">
        <v>43.73</v>
      </c>
      <c r="G2" t="inlineStr">
        <is>
          <t>EUR</t>
        </is>
      </c>
      <c r="H2" t="inlineStr">
        <is>
          <t>2026-10-10</t>
        </is>
      </c>
      <c r="I2" s="2" t="n">
        <v>24.67</v>
      </c>
    </row>
    <row r="3">
      <c r="A3" t="inlineStr">
        <is>
          <t>SAP.DE</t>
        </is>
      </c>
      <c r="B3" t="inlineStr">
        <is>
          <t>SAP</t>
        </is>
      </c>
      <c r="C3" t="inlineStr">
        <is>
          <t>EU</t>
        </is>
      </c>
      <c r="D3" t="n">
        <v>2</v>
      </c>
      <c r="E3" t="n">
        <v>191.56</v>
      </c>
      <c r="F3" t="n">
        <v>181.04</v>
      </c>
      <c r="G3" t="inlineStr">
        <is>
          <t>EUR</t>
        </is>
      </c>
      <c r="H3" t="inlineStr">
        <is>
          <t>2026-10-10</t>
        </is>
      </c>
      <c r="I3" s="2" t="n">
        <v>22.45</v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US</t>
        </is>
      </c>
      <c r="D4" t="n">
        <v>1</v>
      </c>
      <c r="E4" t="n">
        <v>535.34</v>
      </c>
      <c r="F4" t="n">
        <v>509.9</v>
      </c>
      <c r="G4" t="inlineStr">
        <is>
          <t>USD</t>
        </is>
      </c>
      <c r="H4" t="inlineStr">
        <is>
          <t>2026-10-10</t>
        </is>
      </c>
      <c r="I4" s="2" t="n">
        <v>23.7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8" customWidth="1" min="4" max="4"/>
    <col width="11" customWidth="1" min="5" max="5"/>
    <col width="12" customWidth="1" min="6" max="6"/>
    <col width="13" customWidth="1" min="7" max="7"/>
    <col width="11" customWidth="1" min="8" max="8"/>
    <col width="13" customWidth="1" min="9" max="9"/>
    <col width="70" customWidth="1" min="10" max="10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Valuta-koers</t>
        </is>
      </c>
      <c r="G1" s="1" t="inlineStr">
        <is>
          <t>Bedrag (€)</t>
        </is>
      </c>
      <c r="H1" s="1" t="inlineStr">
        <is>
          <t>Kosten (€)</t>
        </is>
      </c>
      <c r="I1" s="1" t="inlineStr">
        <is>
          <t>Resultaat (€)</t>
        </is>
      </c>
      <c r="J1" s="1" t="inlineStr">
        <is>
          <t>Reden</t>
        </is>
      </c>
    </row>
    <row r="2">
      <c r="A2" t="inlineStr">
        <is>
          <t>2026-10-10</t>
        </is>
      </c>
      <c r="B2" t="inlineStr">
        <is>
          <t>KOOP</t>
        </is>
      </c>
      <c r="C2" t="inlineStr">
        <is>
          <t>SHELL.AS</t>
        </is>
      </c>
      <c r="D2" t="n">
        <v>13</v>
      </c>
      <c r="E2" s="4" t="n">
        <v>45.0575</v>
      </c>
      <c r="F2" t="n">
        <v>1</v>
      </c>
      <c r="G2" s="2" t="n">
        <v>585.75</v>
      </c>
      <c r="H2" s="2" t="n">
        <v>1</v>
      </c>
      <c r="I2" s="2" t="n"/>
      <c r="J2" t="inlineStr">
        <is>
          <t>trend OK: 3m +23.4%, 1m +9.2%, volume x1.07</t>
        </is>
      </c>
    </row>
    <row r="3">
      <c r="A3" t="inlineStr">
        <is>
          <t>2026-10-10</t>
        </is>
      </c>
      <c r="B3" t="inlineStr">
        <is>
          <t>KOOP</t>
        </is>
      </c>
      <c r="C3" t="inlineStr">
        <is>
          <t>SAP.DE</t>
        </is>
      </c>
      <c r="D3" t="n">
        <v>2</v>
      </c>
      <c r="E3" s="4" t="n">
        <v>191.5557</v>
      </c>
      <c r="F3" t="n">
        <v>1</v>
      </c>
      <c r="G3" s="2" t="n">
        <v>383.11</v>
      </c>
      <c r="H3" s="2" t="n">
        <v>1</v>
      </c>
      <c r="I3" s="2" t="n"/>
      <c r="J3" t="inlineStr">
        <is>
          <t>trend OK: 3m +40.0%, 1m +7.7%, volume x0.83</t>
        </is>
      </c>
    </row>
    <row r="4">
      <c r="A4" t="inlineStr">
        <is>
          <t>2026-10-10</t>
        </is>
      </c>
      <c r="B4" t="inlineStr">
        <is>
          <t>KOOP</t>
        </is>
      </c>
      <c r="C4" t="inlineStr">
        <is>
          <t>MSFT</t>
        </is>
      </c>
      <c r="D4" t="n">
        <v>1</v>
      </c>
      <c r="E4" s="4" t="n">
        <v>535.3375</v>
      </c>
      <c r="F4" t="n">
        <v>0.8924</v>
      </c>
      <c r="G4" s="2" t="n">
        <v>477.74</v>
      </c>
      <c r="H4" s="2" t="n">
        <v>1</v>
      </c>
      <c r="I4" s="2" t="n"/>
      <c r="J4" t="inlineStr">
        <is>
          <t>trend OK: 3m +37.1%, 1m +8.7%, volume x0.82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7" customWidth="1" min="4" max="4"/>
    <col width="9" customWidth="1" min="5" max="5"/>
    <col width="11" customWidth="1" min="6" max="6"/>
    <col width="10" customWidth="1" min="7" max="7"/>
    <col width="20" customWidth="1" min="8" max="8"/>
    <col width="11" customWidth="1" min="9" max="9"/>
  </cols>
  <sheetData>
    <row r="1">
      <c r="A1" s="1" t="inlineStr">
        <is>
          <t>#</t>
        </is>
      </c>
      <c r="B1" s="1" t="inlineStr">
        <is>
          <t>Ticker</t>
        </is>
      </c>
      <c r="C1" s="1" t="inlineStr">
        <is>
          <t>Naam</t>
        </is>
      </c>
      <c r="D1" s="1" t="inlineStr">
        <is>
          <t>Regio</t>
        </is>
      </c>
      <c r="E1" s="1" t="inlineStr">
        <is>
          <t>Score</t>
        </is>
      </c>
      <c r="F1" s="1" t="inlineStr">
        <is>
          <t>3 maanden</t>
        </is>
      </c>
      <c r="G1" s="1" t="inlineStr">
        <is>
          <t>1 maand</t>
        </is>
      </c>
      <c r="H1" s="1" t="inlineStr">
        <is>
          <t>Volume t.o.v. normaal</t>
        </is>
      </c>
      <c r="I1" s="1" t="inlineStr">
        <is>
          <t>Slotkoers</t>
        </is>
      </c>
    </row>
    <row r="2">
      <c r="A2" t="n">
        <v>1</v>
      </c>
      <c r="B2" t="inlineStr">
        <is>
          <t>SHELL.AS</t>
        </is>
      </c>
      <c r="C2" t="inlineStr">
        <is>
          <t>Shell</t>
        </is>
      </c>
      <c r="D2" t="inlineStr">
        <is>
          <t>EU</t>
        </is>
      </c>
      <c r="E2" t="n">
        <v>0.155</v>
      </c>
      <c r="F2" s="3" t="n">
        <v>0.233556455119823</v>
      </c>
      <c r="G2" s="3" t="n">
        <v>0.0879391335134192</v>
      </c>
      <c r="H2" t="n">
        <v>1.04</v>
      </c>
      <c r="I2" t="n">
        <v>46.46</v>
      </c>
    </row>
    <row r="3">
      <c r="A3" t="n">
        <v>2</v>
      </c>
      <c r="B3" t="inlineStr">
        <is>
          <t>SAP.DE</t>
        </is>
      </c>
      <c r="C3" t="inlineStr">
        <is>
          <t>SAP</t>
        </is>
      </c>
      <c r="D3" t="inlineStr">
        <is>
          <t>EU</t>
        </is>
      </c>
      <c r="E3" t="n">
        <v>0.11</v>
      </c>
      <c r="F3" s="3" t="n">
        <v>0.4279292709978453</v>
      </c>
      <c r="G3" s="3" t="n">
        <v>0.05270472799789561</v>
      </c>
      <c r="H3" t="n">
        <v>0.82</v>
      </c>
      <c r="I3" t="n">
        <v>196.94</v>
      </c>
    </row>
    <row r="4">
      <c r="A4" t="n">
        <v>3</v>
      </c>
      <c r="B4" t="inlineStr">
        <is>
          <t>WKL.AS</t>
        </is>
      </c>
      <c r="C4" t="inlineStr">
        <is>
          <t>Wolters Kluwer</t>
        </is>
      </c>
      <c r="D4" t="inlineStr">
        <is>
          <t>EU</t>
        </is>
      </c>
      <c r="E4" t="n">
        <v>0.106</v>
      </c>
      <c r="F4" s="3" t="n">
        <v>0.2817908299691714</v>
      </c>
      <c r="G4" s="3" t="n">
        <v>0.1365753816502397</v>
      </c>
      <c r="H4" t="n">
        <v>1.17</v>
      </c>
      <c r="I4" t="n">
        <v>78.06</v>
      </c>
    </row>
    <row r="5">
      <c r="A5" t="n">
        <v>4</v>
      </c>
      <c r="B5" t="inlineStr">
        <is>
          <t>XLE</t>
        </is>
      </c>
      <c r="C5" t="inlineStr">
        <is>
          <t>Energie-ETF</t>
        </is>
      </c>
      <c r="D5" t="inlineStr">
        <is>
          <t>US</t>
        </is>
      </c>
      <c r="E5" t="n">
        <v>0.106</v>
      </c>
      <c r="F5" s="3" t="n">
        <v>0.1931250609053237</v>
      </c>
      <c r="G5" s="3" t="n">
        <v>0.03188213977858134</v>
      </c>
      <c r="H5" t="n">
        <v>1.08</v>
      </c>
      <c r="I5" t="n">
        <v>67.63</v>
      </c>
    </row>
    <row r="6">
      <c r="A6" t="n">
        <v>5</v>
      </c>
      <c r="B6" t="inlineStr">
        <is>
          <t>XOM</t>
        </is>
      </c>
      <c r="C6" t="inlineStr">
        <is>
          <t>ExxonMobil</t>
        </is>
      </c>
      <c r="D6" t="inlineStr">
        <is>
          <t>US</t>
        </is>
      </c>
      <c r="E6" t="n">
        <v>0.101</v>
      </c>
      <c r="F6" s="3" t="n">
        <v>0.2206657103115155</v>
      </c>
      <c r="G6" s="3" t="n">
        <v>0.04541688430175994</v>
      </c>
      <c r="H6" t="n">
        <v>0.95</v>
      </c>
      <c r="I6" t="n">
        <v>177.01</v>
      </c>
    </row>
    <row r="7">
      <c r="A7" t="n">
        <v>6</v>
      </c>
      <c r="B7" t="inlineStr">
        <is>
          <t>MSFT</t>
        </is>
      </c>
      <c r="C7" t="inlineStr">
        <is>
          <t>Microsoft</t>
        </is>
      </c>
      <c r="D7" t="inlineStr">
        <is>
          <t>US</t>
        </is>
      </c>
      <c r="E7" t="n">
        <v>0.093</v>
      </c>
      <c r="F7" s="3" t="n">
        <v>0.3330707534804345</v>
      </c>
      <c r="G7" s="3" t="n">
        <v>0.07356374252377029</v>
      </c>
      <c r="H7" t="n">
        <v>0.84</v>
      </c>
      <c r="I7" t="n">
        <v>533.6900000000001</v>
      </c>
    </row>
    <row r="8">
      <c r="A8" t="n">
        <v>7</v>
      </c>
      <c r="B8" t="inlineStr">
        <is>
          <t>TTE.PA</t>
        </is>
      </c>
      <c r="C8" t="inlineStr">
        <is>
          <t>TotalEnergies</t>
        </is>
      </c>
      <c r="D8" t="inlineStr">
        <is>
          <t>EU</t>
        </is>
      </c>
      <c r="E8" t="n">
        <v>0.08</v>
      </c>
      <c r="F8" s="3" t="n">
        <v>0.1502569075617706</v>
      </c>
      <c r="G8" s="3" t="n">
        <v>0.007635966783434256</v>
      </c>
      <c r="H8" t="n">
        <v>1.12</v>
      </c>
      <c r="I8" t="n">
        <v>80.17</v>
      </c>
    </row>
    <row r="9">
      <c r="A9" t="n">
        <v>8</v>
      </c>
      <c r="B9" t="inlineStr">
        <is>
          <t>PLTR</t>
        </is>
      </c>
      <c r="C9" t="inlineStr">
        <is>
          <t>Palantir</t>
        </is>
      </c>
      <c r="D9" t="inlineStr">
        <is>
          <t>US</t>
        </is>
      </c>
      <c r="E9" t="n">
        <v>0.076</v>
      </c>
      <c r="F9" s="3" t="n">
        <v>0.4948675808622736</v>
      </c>
      <c r="G9" s="3" t="n">
        <v>0.1646384101996907</v>
      </c>
      <c r="H9" t="n">
        <v>0.71</v>
      </c>
      <c r="I9" t="n">
        <v>200.97</v>
      </c>
    </row>
    <row r="10">
      <c r="A10" t="n">
        <v>9</v>
      </c>
      <c r="B10" t="inlineStr">
        <is>
          <t>META</t>
        </is>
      </c>
      <c r="C10" t="inlineStr">
        <is>
          <t>Meta Platforms</t>
        </is>
      </c>
      <c r="D10" t="inlineStr">
        <is>
          <t>US</t>
        </is>
      </c>
      <c r="E10" t="n">
        <v>0.053</v>
      </c>
      <c r="F10" s="3" t="n">
        <v>0.1107263312675328</v>
      </c>
      <c r="G10" s="3" t="n">
        <v>0.101280166976637</v>
      </c>
      <c r="H10" t="n">
        <v>1.16</v>
      </c>
      <c r="I10" t="n">
        <v>737.54</v>
      </c>
    </row>
    <row r="11">
      <c r="A11" t="n">
        <v>10</v>
      </c>
      <c r="B11" t="inlineStr">
        <is>
          <t>V</t>
        </is>
      </c>
      <c r="C11" t="inlineStr">
        <is>
          <t>Visa</t>
        </is>
      </c>
      <c r="D11" t="inlineStr">
        <is>
          <t>US</t>
        </is>
      </c>
      <c r="E11" t="n">
        <v>0.052</v>
      </c>
      <c r="F11" s="3" t="n">
        <v>0.07399126212527274</v>
      </c>
      <c r="G11" s="3" t="n">
        <v>0.04209040456874846</v>
      </c>
      <c r="H11" t="n">
        <v>1</v>
      </c>
      <c r="I11" t="n">
        <v>391.43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Begrip</t>
        </is>
      </c>
      <c r="B1" s="1" t="inlineStr">
        <is>
          <t>Betekenis</t>
        </is>
      </c>
    </row>
    <row r="2">
      <c r="A2" t="inlineStr">
        <is>
          <t>Nepgeld</t>
        </is>
      </c>
      <c r="B2" s="5" t="inlineStr">
        <is>
          <t>Dit is een oefenportefeuille. Er is geen echt geld gebruikt. Geen beleggingsadvies.</t>
        </is>
      </c>
    </row>
    <row r="3">
      <c r="A3" t="inlineStr">
        <is>
          <t>Waarde</t>
        </is>
      </c>
      <c r="B3" s="5" t="inlineStr">
        <is>
          <t>Kas plus de waarde van alle posities, omgerekend naar euro.</t>
        </is>
      </c>
    </row>
    <row r="4">
      <c r="A4" t="inlineStr">
        <is>
          <t>Stop-loss</t>
        </is>
      </c>
      <c r="B4" s="5" t="inlineStr">
        <is>
          <t>Koers waarop de agent automatisch verkoopt om verlies te beperken. Schuift mee omhoog als het goed gaat.</t>
        </is>
      </c>
    </row>
    <row r="5">
      <c r="A5" t="inlineStr">
        <is>
          <t>Max verlies (€)</t>
        </is>
      </c>
      <c r="B5" s="5" t="inlineStr">
        <is>
          <t>Wat de positie kost als de beginstop wordt geraakt, inclusief kosten.</t>
        </is>
      </c>
    </row>
    <row r="6">
      <c r="A6" t="inlineStr">
        <is>
          <t>Score</t>
        </is>
      </c>
      <c r="B6" s="5" t="inlineStr">
        <is>
          <t>Trendsterkte: rendement over 1 en 3 maanden gedeeld door beweeglijkheid. Hoger = sterker en rustiger.</t>
        </is>
      </c>
    </row>
    <row r="7">
      <c r="A7" t="inlineStr">
        <is>
          <t>Volume t.o.v. normaal</t>
        </is>
      </c>
      <c r="B7" s="5" t="inlineStr">
        <is>
          <t>Handel van de laatste 20 dagen gedeeld door de laatste 60. Boven 1 = meer belangstelling.</t>
        </is>
      </c>
    </row>
    <row r="8">
      <c r="A8" t="inlineStr">
        <is>
          <t>Resultaat (€)</t>
        </is>
      </c>
      <c r="B8" s="5" t="inlineStr">
        <is>
          <t>Winst of verlies van een afgesloten trade, na alle kosten.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(SHELL.AS): Datum</t>
        </is>
      </c>
      <c r="B1" t="inlineStr">
        <is>
          <t>Koers</t>
        </is>
      </c>
      <c r="C1" t="inlineStr">
        <is>
          <t>50-daags gemiddelde</t>
        </is>
      </c>
      <c r="D1" t="inlineStr">
        <is>
          <t>200-daags gemiddelde</t>
        </is>
      </c>
      <c r="E1" t="inlineStr">
        <is>
          <t>Instap</t>
        </is>
      </c>
      <c r="F1" t="inlineStr">
        <is>
          <t>Stop-loss (hier verkoopt de bot)</t>
        </is>
      </c>
      <c r="H1" t="inlineStr">
        <is>
          <t>SAP (SAP.DE): Datum</t>
        </is>
      </c>
      <c r="I1" t="inlineStr">
        <is>
          <t>Koers</t>
        </is>
      </c>
      <c r="J1" t="inlineStr">
        <is>
          <t>50-daags gemiddelde</t>
        </is>
      </c>
      <c r="K1" t="inlineStr">
        <is>
          <t>200-daags gemiddelde</t>
        </is>
      </c>
      <c r="L1" t="inlineStr">
        <is>
          <t>Instap</t>
        </is>
      </c>
      <c r="M1" t="inlineStr">
        <is>
          <t>Stop-loss (hier verkoopt de bot)</t>
        </is>
      </c>
      <c r="O1" t="inlineStr">
        <is>
          <t>Microsoft (MSFT): Datum</t>
        </is>
      </c>
      <c r="P1" t="inlineStr">
        <is>
          <t>Koers</t>
        </is>
      </c>
      <c r="Q1" t="inlineStr">
        <is>
          <t>50-daags gemiddelde</t>
        </is>
      </c>
      <c r="R1" t="inlineStr">
        <is>
          <t>200-daags gemiddelde</t>
        </is>
      </c>
      <c r="S1" t="inlineStr">
        <is>
          <t>Instap</t>
        </is>
      </c>
      <c r="T1" t="inlineStr">
        <is>
          <t>Stop-loss (hier verkoopt de bot)</t>
        </is>
      </c>
    </row>
    <row r="2">
      <c r="A2" t="inlineStr">
        <is>
          <t>16 jul</t>
        </is>
      </c>
      <c r="B2" t="n">
        <v>36.8773</v>
      </c>
      <c r="C2" t="n">
        <v>35.6114</v>
      </c>
      <c r="E2" t="n">
        <v>45.05751734733581</v>
      </c>
      <c r="F2" t="n">
        <v>43.73250225612095</v>
      </c>
      <c r="H2" t="inlineStr">
        <is>
          <t>16 jul</t>
        </is>
      </c>
      <c r="I2" t="n">
        <v>137.64</v>
      </c>
      <c r="J2" t="n">
        <v>144.8176</v>
      </c>
      <c r="L2" t="n">
        <v>191.5557367172241</v>
      </c>
      <c r="M2" t="n">
        <v>181.0371344430106</v>
      </c>
      <c r="O2" t="inlineStr">
        <is>
          <t>15 jul</t>
        </is>
      </c>
      <c r="P2" t="n">
        <v>394.8866</v>
      </c>
      <c r="Q2" t="n">
        <v>401.1249</v>
      </c>
      <c r="S2" t="n">
        <v>535.3375423278808</v>
      </c>
      <c r="T2" t="n">
        <v>509.8989698529924</v>
      </c>
    </row>
    <row r="3">
      <c r="A3" t="inlineStr">
        <is>
          <t>17 jul</t>
        </is>
      </c>
      <c r="B3" t="n">
        <v>37.6594</v>
      </c>
      <c r="C3" t="n">
        <v>35.6614</v>
      </c>
      <c r="E3" t="n">
        <v>45.05751734733581</v>
      </c>
      <c r="F3" t="n">
        <v>43.73250225612095</v>
      </c>
      <c r="H3" t="inlineStr">
        <is>
          <t>17 jul</t>
        </is>
      </c>
      <c r="I3" t="n">
        <v>137.92</v>
      </c>
      <c r="J3" t="n">
        <v>144.652</v>
      </c>
      <c r="L3" t="n">
        <v>191.5557367172241</v>
      </c>
      <c r="M3" t="n">
        <v>181.0371344430106</v>
      </c>
      <c r="O3" t="inlineStr">
        <is>
          <t>16 jul</t>
        </is>
      </c>
      <c r="P3" t="n">
        <v>400.3463</v>
      </c>
      <c r="Q3" t="n">
        <v>400.8928</v>
      </c>
      <c r="S3" t="n">
        <v>535.3375423278808</v>
      </c>
      <c r="T3" t="n">
        <v>509.8989698529924</v>
      </c>
    </row>
    <row r="4">
      <c r="A4" t="inlineStr">
        <is>
          <t>20 jul</t>
        </is>
      </c>
      <c r="B4" t="n">
        <v>37.5307</v>
      </c>
      <c r="C4" t="n">
        <v>35.7021</v>
      </c>
      <c r="E4" t="n">
        <v>45.05751734733581</v>
      </c>
      <c r="F4" t="n">
        <v>43.73250225612095</v>
      </c>
      <c r="H4" t="inlineStr">
        <is>
          <t>20 jul</t>
        </is>
      </c>
      <c r="I4" t="n">
        <v>138.26</v>
      </c>
      <c r="J4" t="n">
        <v>144.528</v>
      </c>
      <c r="L4" t="n">
        <v>191.5557367172241</v>
      </c>
      <c r="M4" t="n">
        <v>181.0371344430106</v>
      </c>
      <c r="O4" t="inlineStr">
        <is>
          <t>17 jul</t>
        </is>
      </c>
      <c r="P4" t="n">
        <v>393.08</v>
      </c>
      <c r="Q4" t="n">
        <v>400.5601</v>
      </c>
      <c r="S4" t="n">
        <v>535.3375423278808</v>
      </c>
      <c r="T4" t="n">
        <v>509.8989698529924</v>
      </c>
    </row>
    <row r="5">
      <c r="A5" t="inlineStr">
        <is>
          <t>21 jul</t>
        </is>
      </c>
      <c r="B5" t="n">
        <v>37.8277</v>
      </c>
      <c r="C5" t="n">
        <v>35.7452</v>
      </c>
      <c r="E5" t="n">
        <v>45.05751734733581</v>
      </c>
      <c r="F5" t="n">
        <v>43.73250225612095</v>
      </c>
      <c r="H5" t="inlineStr">
        <is>
          <t>21 jul</t>
        </is>
      </c>
      <c r="I5" t="n">
        <v>136.42</v>
      </c>
      <c r="J5" t="n">
        <v>144.4084</v>
      </c>
      <c r="L5" t="n">
        <v>191.5557367172241</v>
      </c>
      <c r="M5" t="n">
        <v>181.0371344430106</v>
      </c>
      <c r="O5" t="inlineStr">
        <is>
          <t>20 jul</t>
        </is>
      </c>
      <c r="P5" t="n">
        <v>401.5341</v>
      </c>
      <c r="Q5" t="n">
        <v>400.345</v>
      </c>
      <c r="S5" t="n">
        <v>535.3375423278808</v>
      </c>
      <c r="T5" t="n">
        <v>509.8989698529924</v>
      </c>
    </row>
    <row r="6">
      <c r="A6" t="inlineStr">
        <is>
          <t>22 jul</t>
        </is>
      </c>
      <c r="B6" t="n">
        <v>38.2682</v>
      </c>
      <c r="C6" t="n">
        <v>35.799</v>
      </c>
      <c r="D6" t="n">
        <v>33.7968</v>
      </c>
      <c r="E6" t="n">
        <v>45.05751734733581</v>
      </c>
      <c r="F6" t="n">
        <v>43.73250225612095</v>
      </c>
      <c r="H6" t="inlineStr">
        <is>
          <t>22 jul</t>
        </is>
      </c>
      <c r="I6" t="n">
        <v>132.04</v>
      </c>
      <c r="J6" t="n">
        <v>144.324</v>
      </c>
      <c r="K6" t="n">
        <v>174.4005</v>
      </c>
      <c r="L6" t="n">
        <v>191.5557367172241</v>
      </c>
      <c r="M6" t="n">
        <v>181.0371344430106</v>
      </c>
      <c r="O6" t="inlineStr">
        <is>
          <t>21 jul</t>
        </is>
      </c>
      <c r="P6" t="n">
        <v>397.0026</v>
      </c>
      <c r="Q6" t="n">
        <v>399.9036</v>
      </c>
      <c r="R6" t="n">
        <v>435.882</v>
      </c>
      <c r="S6" t="n">
        <v>535.3375423278808</v>
      </c>
      <c r="T6" t="n">
        <v>509.8989698529924</v>
      </c>
    </row>
    <row r="7">
      <c r="A7" t="inlineStr">
        <is>
          <t>23 jul</t>
        </is>
      </c>
      <c r="B7" t="n">
        <v>38.8028</v>
      </c>
      <c r="C7" t="n">
        <v>35.863</v>
      </c>
      <c r="D7" t="n">
        <v>33.8375</v>
      </c>
      <c r="E7" t="n">
        <v>45.05751734733581</v>
      </c>
      <c r="F7" t="n">
        <v>43.73250225612095</v>
      </c>
      <c r="H7" t="inlineStr">
        <is>
          <t>23 jul</t>
        </is>
      </c>
      <c r="I7" t="n">
        <v>128.32</v>
      </c>
      <c r="J7" t="n">
        <v>144.066</v>
      </c>
      <c r="K7" t="n">
        <v>173.9035</v>
      </c>
      <c r="L7" t="n">
        <v>191.5557367172241</v>
      </c>
      <c r="M7" t="n">
        <v>181.0371344430106</v>
      </c>
      <c r="O7" t="inlineStr">
        <is>
          <t>22 jul</t>
        </is>
      </c>
      <c r="P7" t="n">
        <v>389.6066</v>
      </c>
      <c r="Q7" t="n">
        <v>399.4268</v>
      </c>
      <c r="R7" t="n">
        <v>435.2723</v>
      </c>
      <c r="S7" t="n">
        <v>535.3375423278808</v>
      </c>
      <c r="T7" t="n">
        <v>509.8989698529924</v>
      </c>
    </row>
    <row r="8">
      <c r="A8" t="inlineStr">
        <is>
          <t>24 jul</t>
        </is>
      </c>
      <c r="B8" t="n">
        <v>38.3871</v>
      </c>
      <c r="C8" t="n">
        <v>35.9135</v>
      </c>
      <c r="D8" t="n">
        <v>33.8757</v>
      </c>
      <c r="E8" t="n">
        <v>45.05751734733581</v>
      </c>
      <c r="F8" t="n">
        <v>43.73250225612095</v>
      </c>
      <c r="H8" t="inlineStr">
        <is>
          <t>24 jul</t>
        </is>
      </c>
      <c r="I8" t="n">
        <v>140.2</v>
      </c>
      <c r="J8" t="n">
        <v>143.9888</v>
      </c>
      <c r="K8" t="n">
        <v>173.4491</v>
      </c>
      <c r="L8" t="n">
        <v>191.5557367172241</v>
      </c>
      <c r="M8" t="n">
        <v>181.0371344430106</v>
      </c>
      <c r="O8" t="inlineStr">
        <is>
          <t>23 jul</t>
        </is>
      </c>
      <c r="P8" t="n">
        <v>380.863</v>
      </c>
      <c r="Q8" t="n">
        <v>398.8242</v>
      </c>
      <c r="R8" t="n">
        <v>434.611</v>
      </c>
      <c r="S8" t="n">
        <v>535.3375423278808</v>
      </c>
      <c r="T8" t="n">
        <v>509.8989698529924</v>
      </c>
    </row>
    <row r="9">
      <c r="A9" t="inlineStr">
        <is>
          <t>27 jul</t>
        </is>
      </c>
      <c r="B9" t="n">
        <v>37.9515</v>
      </c>
      <c r="C9" t="n">
        <v>35.931</v>
      </c>
      <c r="D9" t="n">
        <v>33.9167</v>
      </c>
      <c r="E9" t="n">
        <v>45.05751734733581</v>
      </c>
      <c r="F9" t="n">
        <v>43.73250225612095</v>
      </c>
      <c r="H9" t="inlineStr">
        <is>
          <t>27 jul</t>
        </is>
      </c>
      <c r="I9" t="n">
        <v>151.28</v>
      </c>
      <c r="J9" t="n">
        <v>144.0572</v>
      </c>
      <c r="K9" t="n">
        <v>173.0393</v>
      </c>
      <c r="L9" t="n">
        <v>191.5557367172241</v>
      </c>
      <c r="M9" t="n">
        <v>181.0371344430106</v>
      </c>
      <c r="O9" t="inlineStr">
        <is>
          <t>24 jul</t>
        </is>
      </c>
      <c r="P9" t="n">
        <v>380.9828</v>
      </c>
      <c r="Q9" t="n">
        <v>398.3214</v>
      </c>
      <c r="R9" t="n">
        <v>433.8946</v>
      </c>
      <c r="S9" t="n">
        <v>535.3375423278808</v>
      </c>
      <c r="T9" t="n">
        <v>509.8989698529924</v>
      </c>
    </row>
    <row r="10">
      <c r="A10" t="inlineStr">
        <is>
          <t>28 jul</t>
        </is>
      </c>
      <c r="B10" t="n">
        <v>37.4713</v>
      </c>
      <c r="C10" t="n">
        <v>35.9372</v>
      </c>
      <c r="D10" t="n">
        <v>33.9548</v>
      </c>
      <c r="E10" t="n">
        <v>45.05751734733581</v>
      </c>
      <c r="F10" t="n">
        <v>43.73250225612095</v>
      </c>
      <c r="H10" t="inlineStr">
        <is>
          <t>28 jul</t>
        </is>
      </c>
      <c r="I10" t="n">
        <v>159.24</v>
      </c>
      <c r="J10" t="n">
        <v>144.1076</v>
      </c>
      <c r="K10" t="n">
        <v>172.6663</v>
      </c>
      <c r="L10" t="n">
        <v>191.5557367172241</v>
      </c>
      <c r="M10" t="n">
        <v>181.0371344430106</v>
      </c>
      <c r="O10" t="inlineStr">
        <is>
          <t>27 jul</t>
        </is>
      </c>
      <c r="P10" t="n">
        <v>388.3689</v>
      </c>
      <c r="Q10" t="n">
        <v>398.0172</v>
      </c>
      <c r="R10" t="n">
        <v>433.238</v>
      </c>
      <c r="S10" t="n">
        <v>535.3375423278808</v>
      </c>
      <c r="T10" t="n">
        <v>509.8989698529924</v>
      </c>
    </row>
    <row r="11">
      <c r="A11" t="inlineStr">
        <is>
          <t>29 jul</t>
        </is>
      </c>
      <c r="B11" t="n">
        <v>38.4415</v>
      </c>
      <c r="C11" t="n">
        <v>35.9692</v>
      </c>
      <c r="D11" t="n">
        <v>33.9987</v>
      </c>
      <c r="E11" t="n">
        <v>45.05751734733581</v>
      </c>
      <c r="F11" t="n">
        <v>43.73250225612095</v>
      </c>
      <c r="H11" t="inlineStr">
        <is>
          <t>29 jul</t>
        </is>
      </c>
      <c r="I11" t="n">
        <v>162.04</v>
      </c>
      <c r="J11" t="n">
        <v>144.28</v>
      </c>
      <c r="K11" t="n">
        <v>172.343</v>
      </c>
      <c r="L11" t="n">
        <v>191.5557367172241</v>
      </c>
      <c r="M11" t="n">
        <v>181.0371344430106</v>
      </c>
      <c r="O11" t="inlineStr">
        <is>
          <t>28 jul</t>
        </is>
      </c>
      <c r="P11" t="n">
        <v>392.6109</v>
      </c>
      <c r="Q11" t="n">
        <v>397.7139</v>
      </c>
      <c r="R11" t="n">
        <v>432.5982</v>
      </c>
      <c r="S11" t="n">
        <v>535.3375423278808</v>
      </c>
      <c r="T11" t="n">
        <v>509.8989698529924</v>
      </c>
    </row>
    <row r="12">
      <c r="A12" t="inlineStr">
        <is>
          <t>30 jul</t>
        </is>
      </c>
      <c r="B12" t="n">
        <v>38.5108</v>
      </c>
      <c r="C12" t="n">
        <v>35.9978</v>
      </c>
      <c r="D12" t="n">
        <v>34.0424</v>
      </c>
      <c r="E12" t="n">
        <v>45.05751734733581</v>
      </c>
      <c r="F12" t="n">
        <v>43.73250225612095</v>
      </c>
      <c r="H12" t="inlineStr">
        <is>
          <t>30 jul</t>
        </is>
      </c>
      <c r="I12" t="n">
        <v>155.92</v>
      </c>
      <c r="J12" t="n">
        <v>144.3804</v>
      </c>
      <c r="K12" t="n">
        <v>171.9849</v>
      </c>
      <c r="L12" t="n">
        <v>191.5557367172241</v>
      </c>
      <c r="M12" t="n">
        <v>181.0371344430106</v>
      </c>
      <c r="O12" t="inlineStr">
        <is>
          <t>29 jul</t>
        </is>
      </c>
      <c r="P12" t="n">
        <v>389.8062</v>
      </c>
      <c r="Q12" t="n">
        <v>397.1057</v>
      </c>
      <c r="R12" t="n">
        <v>431.9565</v>
      </c>
      <c r="S12" t="n">
        <v>535.3375423278808</v>
      </c>
      <c r="T12" t="n">
        <v>509.8989698529924</v>
      </c>
    </row>
    <row r="13">
      <c r="A13" t="inlineStr">
        <is>
          <t>31 jul</t>
        </is>
      </c>
      <c r="B13" t="n">
        <v>39.3226</v>
      </c>
      <c r="C13" t="n">
        <v>36.0495</v>
      </c>
      <c r="D13" t="n">
        <v>34.0907</v>
      </c>
      <c r="E13" t="n">
        <v>45.05751734733581</v>
      </c>
      <c r="F13" t="n">
        <v>43.73250225612095</v>
      </c>
      <c r="H13" t="inlineStr">
        <is>
          <t>31 jul</t>
        </is>
      </c>
      <c r="I13" t="n">
        <v>157.68</v>
      </c>
      <c r="J13" t="n">
        <v>144.4984</v>
      </c>
      <c r="K13" t="n">
        <v>171.6292</v>
      </c>
      <c r="L13" t="n">
        <v>191.5557367172241</v>
      </c>
      <c r="M13" t="n">
        <v>181.0371344430106</v>
      </c>
      <c r="O13" t="inlineStr">
        <is>
          <t>30 jul</t>
        </is>
      </c>
      <c r="P13" t="n">
        <v>450.2524</v>
      </c>
      <c r="Q13" t="n">
        <v>397.6741</v>
      </c>
      <c r="R13" t="n">
        <v>431.6738</v>
      </c>
      <c r="S13" t="n">
        <v>535.3375423278808</v>
      </c>
      <c r="T13" t="n">
        <v>509.8989698529924</v>
      </c>
    </row>
    <row r="14">
      <c r="A14" t="inlineStr">
        <is>
          <t>3 aug</t>
        </is>
      </c>
      <c r="B14" t="n">
        <v>39.4067</v>
      </c>
      <c r="C14" t="n">
        <v>36.1112</v>
      </c>
      <c r="D14" t="n">
        <v>34.1393</v>
      </c>
      <c r="E14" t="n">
        <v>45.05751734733581</v>
      </c>
      <c r="F14" t="n">
        <v>43.73250225612095</v>
      </c>
      <c r="H14" t="inlineStr">
        <is>
          <t>3 aug</t>
        </is>
      </c>
      <c r="I14" t="n">
        <v>164.64</v>
      </c>
      <c r="J14" t="n">
        <v>144.7016</v>
      </c>
      <c r="K14" t="n">
        <v>171.301</v>
      </c>
      <c r="L14" t="n">
        <v>191.5557367172241</v>
      </c>
      <c r="M14" t="n">
        <v>181.0371344430106</v>
      </c>
      <c r="O14" t="inlineStr">
        <is>
          <t>31 jul</t>
        </is>
      </c>
      <c r="P14" t="n">
        <v>463.8468</v>
      </c>
      <c r="Q14" t="n">
        <v>398.6364</v>
      </c>
      <c r="R14" t="n">
        <v>431.4438</v>
      </c>
      <c r="S14" t="n">
        <v>535.3375423278808</v>
      </c>
      <c r="T14" t="n">
        <v>509.8989698529924</v>
      </c>
    </row>
    <row r="15">
      <c r="A15" t="inlineStr">
        <is>
          <t>4 aug</t>
        </is>
      </c>
      <c r="B15" t="n">
        <v>38.486</v>
      </c>
      <c r="C15" t="n">
        <v>36.1495</v>
      </c>
      <c r="D15" t="n">
        <v>34.1818</v>
      </c>
      <c r="E15" t="n">
        <v>45.05751734733581</v>
      </c>
      <c r="F15" t="n">
        <v>43.73250225612095</v>
      </c>
      <c r="H15" t="inlineStr">
        <is>
          <t>4 aug</t>
        </is>
      </c>
      <c r="I15" t="n">
        <v>167.38</v>
      </c>
      <c r="J15" t="n">
        <v>145.02</v>
      </c>
      <c r="K15" t="n">
        <v>170.9913</v>
      </c>
      <c r="L15" t="n">
        <v>191.5557367172241</v>
      </c>
      <c r="M15" t="n">
        <v>181.0371344430106</v>
      </c>
      <c r="O15" t="inlineStr">
        <is>
          <t>3 aug</t>
        </is>
      </c>
      <c r="P15" t="n">
        <v>486.7337</v>
      </c>
      <c r="Q15" t="n">
        <v>399.9838</v>
      </c>
      <c r="R15" t="n">
        <v>431.3306</v>
      </c>
      <c r="S15" t="n">
        <v>535.3375423278808</v>
      </c>
      <c r="T15" t="n">
        <v>509.8989698529924</v>
      </c>
    </row>
    <row r="16">
      <c r="A16" t="inlineStr">
        <is>
          <t>5 aug</t>
        </is>
      </c>
      <c r="B16" t="n">
        <v>38.0307</v>
      </c>
      <c r="C16" t="n">
        <v>36.1966</v>
      </c>
      <c r="D16" t="n">
        <v>34.2215</v>
      </c>
      <c r="E16" t="n">
        <v>45.05751734733581</v>
      </c>
      <c r="F16" t="n">
        <v>43.73250225612095</v>
      </c>
      <c r="H16" t="inlineStr">
        <is>
          <t>5 aug</t>
        </is>
      </c>
      <c r="I16" t="n">
        <v>169.26</v>
      </c>
      <c r="J16" t="n">
        <v>145.4052</v>
      </c>
      <c r="K16" t="n">
        <v>170.7022</v>
      </c>
      <c r="L16" t="n">
        <v>191.5557367172241</v>
      </c>
      <c r="M16" t="n">
        <v>181.0371344430106</v>
      </c>
      <c r="O16" t="inlineStr">
        <is>
          <t>4 aug</t>
        </is>
      </c>
      <c r="P16" t="n">
        <v>491.884</v>
      </c>
      <c r="Q16" t="n">
        <v>401.4555</v>
      </c>
      <c r="R16" t="n">
        <v>431.2438</v>
      </c>
      <c r="S16" t="n">
        <v>535.3375423278808</v>
      </c>
      <c r="T16" t="n">
        <v>509.8989698529924</v>
      </c>
    </row>
    <row r="17">
      <c r="A17" t="inlineStr">
        <is>
          <t>6 aug</t>
        </is>
      </c>
      <c r="B17" t="n">
        <v>38.392</v>
      </c>
      <c r="C17" t="n">
        <v>36.2474</v>
      </c>
      <c r="D17" t="n">
        <v>34.2607</v>
      </c>
      <c r="E17" t="n">
        <v>45.05751734733581</v>
      </c>
      <c r="F17" t="n">
        <v>43.73250225612095</v>
      </c>
      <c r="H17" t="inlineStr">
        <is>
          <t>6 aug</t>
        </is>
      </c>
      <c r="I17" t="n">
        <v>170.98</v>
      </c>
      <c r="J17" t="n">
        <v>145.7928</v>
      </c>
      <c r="K17" t="n">
        <v>170.384</v>
      </c>
      <c r="L17" t="n">
        <v>191.5557367172241</v>
      </c>
      <c r="M17" t="n">
        <v>181.0371344430106</v>
      </c>
      <c r="O17" t="inlineStr">
        <is>
          <t>5 aug</t>
        </is>
      </c>
      <c r="P17" t="n">
        <v>486.5441</v>
      </c>
      <c r="Q17" t="n">
        <v>402.8307</v>
      </c>
      <c r="R17" t="n">
        <v>431.1393</v>
      </c>
      <c r="S17" t="n">
        <v>535.3375423278808</v>
      </c>
      <c r="T17" t="n">
        <v>509.8989698529924</v>
      </c>
    </row>
    <row r="18">
      <c r="A18" t="inlineStr">
        <is>
          <t>7 aug</t>
        </is>
      </c>
      <c r="B18" t="n">
        <v>38.0059</v>
      </c>
      <c r="C18" t="n">
        <v>36.2952</v>
      </c>
      <c r="D18" t="n">
        <v>34.294</v>
      </c>
      <c r="E18" t="n">
        <v>45.05751734733581</v>
      </c>
      <c r="F18" t="n">
        <v>43.73250225612095</v>
      </c>
      <c r="H18" t="inlineStr">
        <is>
          <t>7 aug</t>
        </is>
      </c>
      <c r="I18" t="n">
        <v>177.96</v>
      </c>
      <c r="J18" t="n">
        <v>146.2468</v>
      </c>
      <c r="K18" t="n">
        <v>170.0918</v>
      </c>
      <c r="L18" t="n">
        <v>191.5557367172241</v>
      </c>
      <c r="M18" t="n">
        <v>181.0371344430106</v>
      </c>
      <c r="O18" t="inlineStr">
        <is>
          <t>6 aug</t>
        </is>
      </c>
      <c r="P18" t="n">
        <v>498.9207</v>
      </c>
      <c r="Q18" t="n">
        <v>404.5041</v>
      </c>
      <c r="R18" t="n">
        <v>431.087</v>
      </c>
      <c r="S18" t="n">
        <v>535.3375423278808</v>
      </c>
      <c r="T18" t="n">
        <v>509.8989698529924</v>
      </c>
    </row>
    <row r="19">
      <c r="A19" t="inlineStr">
        <is>
          <t>10 aug</t>
        </is>
      </c>
      <c r="B19" t="n">
        <v>38.4019</v>
      </c>
      <c r="C19" t="n">
        <v>36.3315</v>
      </c>
      <c r="D19" t="n">
        <v>34.3294</v>
      </c>
      <c r="E19" t="n">
        <v>45.05751734733581</v>
      </c>
      <c r="F19" t="n">
        <v>43.73250225612095</v>
      </c>
      <c r="H19" t="inlineStr">
        <is>
          <t>10 aug</t>
        </is>
      </c>
      <c r="I19" t="n">
        <v>179.3</v>
      </c>
      <c r="J19" t="n">
        <v>146.4748</v>
      </c>
      <c r="K19" t="n">
        <v>169.8238</v>
      </c>
      <c r="L19" t="n">
        <v>191.5557367172241</v>
      </c>
      <c r="M19" t="n">
        <v>181.0371344430106</v>
      </c>
      <c r="O19" t="inlineStr">
        <is>
          <t>7 aug</t>
        </is>
      </c>
      <c r="P19" t="n">
        <v>499.0505</v>
      </c>
      <c r="Q19" t="n">
        <v>406.2472</v>
      </c>
      <c r="R19" t="n">
        <v>431.0194</v>
      </c>
      <c r="S19" t="n">
        <v>535.3375423278808</v>
      </c>
      <c r="T19" t="n">
        <v>509.8989698529924</v>
      </c>
    </row>
    <row r="20">
      <c r="A20" t="inlineStr">
        <is>
          <t>11 aug</t>
        </is>
      </c>
      <c r="B20" t="n">
        <v>38.9662</v>
      </c>
      <c r="C20" t="n">
        <v>36.374</v>
      </c>
      <c r="D20" t="n">
        <v>34.3685</v>
      </c>
      <c r="E20" t="n">
        <v>45.05751734733581</v>
      </c>
      <c r="F20" t="n">
        <v>43.73250225612095</v>
      </c>
      <c r="H20" t="inlineStr">
        <is>
          <t>11 aug</t>
        </is>
      </c>
      <c r="I20" t="n">
        <v>180.7</v>
      </c>
      <c r="J20" t="n">
        <v>146.8316</v>
      </c>
      <c r="K20" t="n">
        <v>169.5375</v>
      </c>
      <c r="L20" t="n">
        <v>191.5557367172241</v>
      </c>
      <c r="M20" t="n">
        <v>181.0371344430106</v>
      </c>
      <c r="O20" t="inlineStr">
        <is>
          <t>10 aug</t>
        </is>
      </c>
      <c r="P20" t="n">
        <v>505.1091</v>
      </c>
      <c r="Q20" t="n">
        <v>407.8257</v>
      </c>
      <c r="R20" t="n">
        <v>430.9778</v>
      </c>
      <c r="S20" t="n">
        <v>535.3375423278808</v>
      </c>
      <c r="T20" t="n">
        <v>509.8989698529924</v>
      </c>
    </row>
    <row r="21">
      <c r="A21" t="inlineStr">
        <is>
          <t>12 aug</t>
        </is>
      </c>
      <c r="B21" t="n">
        <v>38.6494</v>
      </c>
      <c r="C21" t="n">
        <v>36.3981</v>
      </c>
      <c r="D21" t="n">
        <v>34.4068</v>
      </c>
      <c r="E21" t="n">
        <v>45.05751734733581</v>
      </c>
      <c r="F21" t="n">
        <v>43.73250225612095</v>
      </c>
      <c r="H21" t="inlineStr">
        <is>
          <t>12 aug</t>
        </is>
      </c>
      <c r="I21" t="n">
        <v>175.96</v>
      </c>
      <c r="J21" t="n">
        <v>147.232</v>
      </c>
      <c r="K21" t="n">
        <v>169.2701</v>
      </c>
      <c r="L21" t="n">
        <v>191.5557367172241</v>
      </c>
      <c r="M21" t="n">
        <v>181.0371344430106</v>
      </c>
      <c r="O21" t="inlineStr">
        <is>
          <t>11 aug</t>
        </is>
      </c>
      <c r="P21" t="n">
        <v>502.8633</v>
      </c>
      <c r="Q21" t="n">
        <v>408.895</v>
      </c>
      <c r="R21" t="n">
        <v>430.9106</v>
      </c>
      <c r="S21" t="n">
        <v>535.3375423278808</v>
      </c>
      <c r="T21" t="n">
        <v>509.8989698529924</v>
      </c>
    </row>
    <row r="22">
      <c r="A22" t="inlineStr">
        <is>
          <t>13 aug</t>
        </is>
      </c>
      <c r="B22" t="n">
        <v>38.605</v>
      </c>
      <c r="C22" t="n">
        <v>36.4313</v>
      </c>
      <c r="D22" t="n">
        <v>34.4429</v>
      </c>
      <c r="E22" t="n">
        <v>45.05751734733581</v>
      </c>
      <c r="F22" t="n">
        <v>43.73250225612095</v>
      </c>
      <c r="H22" t="inlineStr">
        <is>
          <t>13 aug</t>
        </is>
      </c>
      <c r="I22" t="n">
        <v>175.38</v>
      </c>
      <c r="J22" t="n">
        <v>147.4496</v>
      </c>
      <c r="K22" t="n">
        <v>168.9889</v>
      </c>
      <c r="L22" t="n">
        <v>191.5557367172241</v>
      </c>
      <c r="M22" t="n">
        <v>181.0371344430106</v>
      </c>
      <c r="O22" t="inlineStr">
        <is>
          <t>12 aug</t>
        </is>
      </c>
      <c r="P22" t="n">
        <v>491.5047</v>
      </c>
      <c r="Q22" t="n">
        <v>409.532</v>
      </c>
      <c r="R22" t="n">
        <v>430.7866</v>
      </c>
      <c r="S22" t="n">
        <v>535.3375423278808</v>
      </c>
      <c r="T22" t="n">
        <v>509.8989698529924</v>
      </c>
    </row>
    <row r="23">
      <c r="A23" t="inlineStr">
        <is>
          <t>14 aug</t>
        </is>
      </c>
      <c r="B23" t="n">
        <v>38.97</v>
      </c>
      <c r="C23" t="n">
        <v>36.4703</v>
      </c>
      <c r="D23" t="n">
        <v>34.4805</v>
      </c>
      <c r="E23" t="n">
        <v>45.05751734733581</v>
      </c>
      <c r="F23" t="n">
        <v>43.73250225612095</v>
      </c>
      <c r="H23" t="inlineStr">
        <is>
          <t>14 aug</t>
        </is>
      </c>
      <c r="I23" t="n">
        <v>180.14</v>
      </c>
      <c r="J23" t="n">
        <v>147.8228</v>
      </c>
      <c r="K23" t="n">
        <v>168.7386</v>
      </c>
      <c r="L23" t="n">
        <v>191.5557367172241</v>
      </c>
      <c r="M23" t="n">
        <v>181.0371344430106</v>
      </c>
      <c r="O23" t="inlineStr">
        <is>
          <t>13 aug</t>
        </is>
      </c>
      <c r="P23" t="n">
        <v>495.9464</v>
      </c>
      <c r="Q23" t="n">
        <v>410.6414</v>
      </c>
      <c r="R23" t="n">
        <v>430.6696</v>
      </c>
      <c r="S23" t="n">
        <v>535.3375423278808</v>
      </c>
      <c r="T23" t="n">
        <v>509.8989698529924</v>
      </c>
    </row>
    <row r="24">
      <c r="A24" t="inlineStr">
        <is>
          <t>17 aug</t>
        </is>
      </c>
      <c r="B24" t="n">
        <v>39.15</v>
      </c>
      <c r="C24" t="n">
        <v>36.5118</v>
      </c>
      <c r="D24" t="n">
        <v>34.5207</v>
      </c>
      <c r="E24" t="n">
        <v>45.05751734733581</v>
      </c>
      <c r="F24" t="n">
        <v>43.73250225612095</v>
      </c>
      <c r="H24" t="inlineStr">
        <is>
          <t>17 aug</t>
        </is>
      </c>
      <c r="I24" t="n">
        <v>179.58</v>
      </c>
      <c r="J24" t="n">
        <v>148.2524</v>
      </c>
      <c r="K24" t="n">
        <v>168.5337</v>
      </c>
      <c r="L24" t="n">
        <v>191.5557367172241</v>
      </c>
      <c r="M24" t="n">
        <v>181.0371344430106</v>
      </c>
      <c r="O24" t="inlineStr">
        <is>
          <t>14 aug</t>
        </is>
      </c>
      <c r="P24" t="n">
        <v>494.4691</v>
      </c>
      <c r="Q24" t="n">
        <v>412</v>
      </c>
      <c r="R24" t="n">
        <v>430.5061</v>
      </c>
      <c r="S24" t="n">
        <v>535.3375423278808</v>
      </c>
      <c r="T24" t="n">
        <v>509.8989698529924</v>
      </c>
    </row>
    <row r="25">
      <c r="A25" t="inlineStr">
        <is>
          <t>18 aug</t>
        </is>
      </c>
      <c r="B25" t="n">
        <v>39.785</v>
      </c>
      <c r="C25" t="n">
        <v>36.5781</v>
      </c>
      <c r="D25" t="n">
        <v>34.5641</v>
      </c>
      <c r="E25" t="n">
        <v>45.05751734733581</v>
      </c>
      <c r="F25" t="n">
        <v>43.73250225612095</v>
      </c>
      <c r="H25" t="inlineStr">
        <is>
          <t>18 aug</t>
        </is>
      </c>
      <c r="I25" t="n">
        <v>182.5</v>
      </c>
      <c r="J25" t="n">
        <v>148.8084</v>
      </c>
      <c r="K25" t="n">
        <v>168.3358</v>
      </c>
      <c r="L25" t="n">
        <v>191.5557367172241</v>
      </c>
      <c r="M25" t="n">
        <v>181.0371344430106</v>
      </c>
      <c r="O25" t="inlineStr">
        <is>
          <t>17 aug</t>
        </is>
      </c>
      <c r="P25" t="n">
        <v>479.4474</v>
      </c>
      <c r="Q25" t="n">
        <v>413.044</v>
      </c>
      <c r="R25" t="n">
        <v>430.2151</v>
      </c>
      <c r="S25" t="n">
        <v>535.3375423278808</v>
      </c>
      <c r="T25" t="n">
        <v>509.8989698529924</v>
      </c>
    </row>
    <row r="26">
      <c r="A26" t="inlineStr">
        <is>
          <t>19 aug</t>
        </is>
      </c>
      <c r="B26" t="n">
        <v>39.94</v>
      </c>
      <c r="C26" t="n">
        <v>36.6336</v>
      </c>
      <c r="D26" t="n">
        <v>34.6092</v>
      </c>
      <c r="E26" t="n">
        <v>45.05751734733581</v>
      </c>
      <c r="F26" t="n">
        <v>43.73250225612095</v>
      </c>
      <c r="H26" t="inlineStr">
        <is>
          <t>19 aug</t>
        </is>
      </c>
      <c r="I26" t="n">
        <v>185.9</v>
      </c>
      <c r="J26" t="n">
        <v>149.5324</v>
      </c>
      <c r="K26" t="n">
        <v>168.1618</v>
      </c>
      <c r="L26" t="n">
        <v>191.5557367172241</v>
      </c>
      <c r="M26" t="n">
        <v>181.0371344430106</v>
      </c>
      <c r="O26" t="inlineStr">
        <is>
          <t>18 aug</t>
        </is>
      </c>
      <c r="P26" t="n">
        <v>480.725</v>
      </c>
      <c r="Q26" t="n">
        <v>414.3408</v>
      </c>
      <c r="R26" t="n">
        <v>429.933</v>
      </c>
      <c r="S26" t="n">
        <v>535.3375423278808</v>
      </c>
      <c r="T26" t="n">
        <v>509.8989698529924</v>
      </c>
    </row>
    <row r="27">
      <c r="A27" t="inlineStr">
        <is>
          <t>20 aug</t>
        </is>
      </c>
      <c r="B27" t="n">
        <v>40.28</v>
      </c>
      <c r="C27" t="n">
        <v>36.6884</v>
      </c>
      <c r="D27" t="n">
        <v>34.6545</v>
      </c>
      <c r="E27" t="n">
        <v>45.05751734733581</v>
      </c>
      <c r="F27" t="n">
        <v>43.73250225612095</v>
      </c>
      <c r="H27" t="inlineStr">
        <is>
          <t>20 aug</t>
        </is>
      </c>
      <c r="I27" t="n">
        <v>185.64</v>
      </c>
      <c r="J27" t="n">
        <v>150.4472</v>
      </c>
      <c r="K27" t="n">
        <v>167.9648</v>
      </c>
      <c r="L27" t="n">
        <v>191.5557367172241</v>
      </c>
      <c r="M27" t="n">
        <v>181.0371344430106</v>
      </c>
      <c r="O27" t="inlineStr">
        <is>
          <t>19 aug</t>
        </is>
      </c>
      <c r="P27" t="n">
        <v>483.4</v>
      </c>
      <c r="Q27" t="n">
        <v>415.7895</v>
      </c>
      <c r="R27" t="n">
        <v>429.7427</v>
      </c>
      <c r="S27" t="n">
        <v>535.3375423278808</v>
      </c>
      <c r="T27" t="n">
        <v>509.8989698529924</v>
      </c>
    </row>
    <row r="28">
      <c r="A28" t="inlineStr">
        <is>
          <t>21 aug</t>
        </is>
      </c>
      <c r="B28" t="n">
        <v>39.91</v>
      </c>
      <c r="C28" t="n">
        <v>36.7478</v>
      </c>
      <c r="D28" t="n">
        <v>34.6988</v>
      </c>
      <c r="E28" t="n">
        <v>45.05751734733581</v>
      </c>
      <c r="F28" t="n">
        <v>43.73250225612095</v>
      </c>
      <c r="H28" t="inlineStr">
        <is>
          <t>21 aug</t>
        </is>
      </c>
      <c r="I28" t="n">
        <v>188.12</v>
      </c>
      <c r="J28" t="n">
        <v>151.4044</v>
      </c>
      <c r="K28" t="n">
        <v>167.794</v>
      </c>
      <c r="L28" t="n">
        <v>191.5557367172241</v>
      </c>
      <c r="M28" t="n">
        <v>181.0371344430106</v>
      </c>
      <c r="O28" t="inlineStr">
        <is>
          <t>20 aug</t>
        </is>
      </c>
      <c r="P28" t="n">
        <v>481.15</v>
      </c>
      <c r="Q28" t="n">
        <v>417.3594</v>
      </c>
      <c r="R28" t="n">
        <v>429.5805</v>
      </c>
      <c r="S28" t="n">
        <v>535.3375423278808</v>
      </c>
      <c r="T28" t="n">
        <v>509.8989698529924</v>
      </c>
    </row>
    <row r="29">
      <c r="A29" t="inlineStr">
        <is>
          <t>24 aug</t>
        </is>
      </c>
      <c r="B29" t="n">
        <v>39.775</v>
      </c>
      <c r="C29" t="n">
        <v>36.8369</v>
      </c>
      <c r="D29" t="n">
        <v>34.7421</v>
      </c>
      <c r="E29" t="n">
        <v>45.05751734733581</v>
      </c>
      <c r="F29" t="n">
        <v>43.73250225612095</v>
      </c>
      <c r="H29" t="inlineStr">
        <is>
          <t>24 aug</t>
        </is>
      </c>
      <c r="I29" t="n">
        <v>187.2</v>
      </c>
      <c r="J29" t="n">
        <v>152.2848</v>
      </c>
      <c r="K29" t="n">
        <v>167.6093</v>
      </c>
      <c r="L29" t="n">
        <v>191.5557367172241</v>
      </c>
      <c r="M29" t="n">
        <v>181.0371344430106</v>
      </c>
      <c r="O29" t="inlineStr">
        <is>
          <t>21 aug</t>
        </is>
      </c>
      <c r="P29" t="n">
        <v>483.24</v>
      </c>
      <c r="Q29" t="n">
        <v>419.092</v>
      </c>
      <c r="R29" t="n">
        <v>429.4327</v>
      </c>
      <c r="S29" t="n">
        <v>535.3375423278808</v>
      </c>
      <c r="T29" t="n">
        <v>509.8989698529924</v>
      </c>
    </row>
    <row r="30">
      <c r="A30" t="inlineStr">
        <is>
          <t>25 aug</t>
        </is>
      </c>
      <c r="B30" t="n">
        <v>39.6</v>
      </c>
      <c r="C30" t="n">
        <v>36.926</v>
      </c>
      <c r="D30" t="n">
        <v>34.783</v>
      </c>
      <c r="E30" t="n">
        <v>45.05751734733581</v>
      </c>
      <c r="F30" t="n">
        <v>43.73250225612095</v>
      </c>
      <c r="H30" t="inlineStr">
        <is>
          <t>25 aug</t>
        </is>
      </c>
      <c r="I30" t="n">
        <v>185.46</v>
      </c>
      <c r="J30" t="n">
        <v>153.136</v>
      </c>
      <c r="K30" t="n">
        <v>167.4651</v>
      </c>
      <c r="L30" t="n">
        <v>191.5557367172241</v>
      </c>
      <c r="M30" t="n">
        <v>181.0371344430106</v>
      </c>
      <c r="O30" t="inlineStr">
        <is>
          <t>24 aug</t>
        </is>
      </c>
      <c r="P30" t="n">
        <v>487.31</v>
      </c>
      <c r="Q30" t="n">
        <v>421.046</v>
      </c>
      <c r="R30" t="n">
        <v>429.3185</v>
      </c>
      <c r="S30" t="n">
        <v>535.3375423278808</v>
      </c>
      <c r="T30" t="n">
        <v>509.8989698529924</v>
      </c>
    </row>
    <row r="31">
      <c r="A31" t="inlineStr">
        <is>
          <t>26 aug</t>
        </is>
      </c>
      <c r="B31" t="n">
        <v>39.42</v>
      </c>
      <c r="C31" t="n">
        <v>37.0192</v>
      </c>
      <c r="D31" t="n">
        <v>34.8202</v>
      </c>
      <c r="E31" t="n">
        <v>45.05751734733581</v>
      </c>
      <c r="F31" t="n">
        <v>43.73250225612095</v>
      </c>
      <c r="H31" t="inlineStr">
        <is>
          <t>26 aug</t>
        </is>
      </c>
      <c r="I31" t="n">
        <v>180.02</v>
      </c>
      <c r="J31" t="n">
        <v>153.9128</v>
      </c>
      <c r="K31" t="n">
        <v>167.3049</v>
      </c>
      <c r="L31" t="n">
        <v>191.5557367172241</v>
      </c>
      <c r="M31" t="n">
        <v>181.0371344430106</v>
      </c>
      <c r="O31" t="inlineStr">
        <is>
          <t>25 aug</t>
        </is>
      </c>
      <c r="P31" t="n">
        <v>491.71</v>
      </c>
      <c r="Q31" t="n">
        <v>423.0801</v>
      </c>
      <c r="R31" t="n">
        <v>429.262</v>
      </c>
      <c r="S31" t="n">
        <v>535.3375423278808</v>
      </c>
      <c r="T31" t="n">
        <v>509.8989698529924</v>
      </c>
    </row>
    <row r="32">
      <c r="A32" t="inlineStr">
        <is>
          <t>27 aug</t>
        </is>
      </c>
      <c r="B32" t="n">
        <v>38.76</v>
      </c>
      <c r="C32" t="n">
        <v>37.117</v>
      </c>
      <c r="D32" t="n">
        <v>34.8559</v>
      </c>
      <c r="E32" t="n">
        <v>45.05751734733581</v>
      </c>
      <c r="F32" t="n">
        <v>43.73250225612095</v>
      </c>
      <c r="H32" t="inlineStr">
        <is>
          <t>27 aug</t>
        </is>
      </c>
      <c r="I32" t="n">
        <v>189.88</v>
      </c>
      <c r="J32" t="n">
        <v>155.0132</v>
      </c>
      <c r="K32" t="n">
        <v>167.1911</v>
      </c>
      <c r="L32" t="n">
        <v>191.5557367172241</v>
      </c>
      <c r="M32" t="n">
        <v>181.0371344430106</v>
      </c>
      <c r="O32" t="inlineStr">
        <is>
          <t>26 aug</t>
        </is>
      </c>
      <c r="P32" t="n">
        <v>496.37</v>
      </c>
      <c r="Q32" t="n">
        <v>425.0273</v>
      </c>
      <c r="R32" t="n">
        <v>429.2786</v>
      </c>
      <c r="S32" t="n">
        <v>535.3375423278808</v>
      </c>
      <c r="T32" t="n">
        <v>509.8989698529924</v>
      </c>
    </row>
    <row r="33">
      <c r="A33" t="inlineStr">
        <is>
          <t>28 aug</t>
        </is>
      </c>
      <c r="B33" t="n">
        <v>39.145</v>
      </c>
      <c r="C33" t="n">
        <v>37.2162</v>
      </c>
      <c r="D33" t="n">
        <v>34.8941</v>
      </c>
      <c r="E33" t="n">
        <v>45.05751734733581</v>
      </c>
      <c r="F33" t="n">
        <v>43.73250225612095</v>
      </c>
      <c r="H33" t="inlineStr">
        <is>
          <t>28 aug</t>
        </is>
      </c>
      <c r="I33" t="n">
        <v>191.32</v>
      </c>
      <c r="J33" t="n">
        <v>156.1568</v>
      </c>
      <c r="K33" t="n">
        <v>167.0806</v>
      </c>
      <c r="L33" t="n">
        <v>191.5557367172241</v>
      </c>
      <c r="M33" t="n">
        <v>181.0371344430106</v>
      </c>
      <c r="O33" t="inlineStr">
        <is>
          <t>27 aug</t>
        </is>
      </c>
      <c r="P33" t="n">
        <v>505.06</v>
      </c>
      <c r="Q33" t="n">
        <v>427.2667</v>
      </c>
      <c r="R33" t="n">
        <v>429.3401</v>
      </c>
      <c r="S33" t="n">
        <v>535.3375423278808</v>
      </c>
      <c r="T33" t="n">
        <v>509.8989698529924</v>
      </c>
    </row>
    <row r="34">
      <c r="A34" t="inlineStr">
        <is>
          <t>31 aug</t>
        </is>
      </c>
      <c r="B34" t="n">
        <v>39.335</v>
      </c>
      <c r="C34" t="n">
        <v>37.3111</v>
      </c>
      <c r="D34" t="n">
        <v>34.9333</v>
      </c>
      <c r="E34" t="n">
        <v>45.05751734733581</v>
      </c>
      <c r="F34" t="n">
        <v>43.73250225612095</v>
      </c>
      <c r="H34" t="inlineStr">
        <is>
          <t>31 aug</t>
        </is>
      </c>
      <c r="I34" t="n">
        <v>190.9</v>
      </c>
      <c r="J34" t="n">
        <v>157.3304</v>
      </c>
      <c r="K34" t="n">
        <v>166.9613</v>
      </c>
      <c r="L34" t="n">
        <v>191.5557367172241</v>
      </c>
      <c r="M34" t="n">
        <v>181.0371344430106</v>
      </c>
      <c r="O34" t="inlineStr">
        <is>
          <t>28 aug</t>
        </is>
      </c>
      <c r="P34" t="n">
        <v>513.53</v>
      </c>
      <c r="Q34" t="n">
        <v>429.9734</v>
      </c>
      <c r="R34" t="n">
        <v>429.3984</v>
      </c>
      <c r="S34" t="n">
        <v>535.3375423278808</v>
      </c>
      <c r="T34" t="n">
        <v>509.8989698529924</v>
      </c>
    </row>
    <row r="35">
      <c r="A35" t="inlineStr">
        <is>
          <t>1 sep</t>
        </is>
      </c>
      <c r="B35" t="n">
        <v>40.155</v>
      </c>
      <c r="C35" t="n">
        <v>37.4239</v>
      </c>
      <c r="D35" t="n">
        <v>34.9763</v>
      </c>
      <c r="E35" t="n">
        <v>45.05751734733581</v>
      </c>
      <c r="F35" t="n">
        <v>43.73250225612095</v>
      </c>
      <c r="H35" t="inlineStr">
        <is>
          <t>1 sep</t>
        </is>
      </c>
      <c r="I35" t="n">
        <v>184.26</v>
      </c>
      <c r="J35" t="n">
        <v>158.3252</v>
      </c>
      <c r="K35" t="n">
        <v>166.8103</v>
      </c>
      <c r="L35" t="n">
        <v>191.5557367172241</v>
      </c>
      <c r="M35" t="n">
        <v>181.0371344430106</v>
      </c>
      <c r="O35" t="inlineStr">
        <is>
          <t>31 aug</t>
        </is>
      </c>
      <c r="P35" t="n">
        <v>507.29</v>
      </c>
      <c r="Q35" t="n">
        <v>432.5454</v>
      </c>
      <c r="R35" t="n">
        <v>429.4122</v>
      </c>
      <c r="S35" t="n">
        <v>535.3375423278808</v>
      </c>
      <c r="T35" t="n">
        <v>509.8989698529924</v>
      </c>
    </row>
    <row r="36">
      <c r="A36" t="inlineStr">
        <is>
          <t>2 sep</t>
        </is>
      </c>
      <c r="B36" t="n">
        <v>40.21</v>
      </c>
      <c r="C36" t="n">
        <v>37.5499</v>
      </c>
      <c r="D36" t="n">
        <v>35.0217</v>
      </c>
      <c r="E36" t="n">
        <v>45.05751734733581</v>
      </c>
      <c r="F36" t="n">
        <v>43.73250225612095</v>
      </c>
      <c r="H36" t="inlineStr">
        <is>
          <t>2 sep</t>
        </is>
      </c>
      <c r="I36" t="n">
        <v>181.44</v>
      </c>
      <c r="J36" t="n">
        <v>159.2568</v>
      </c>
      <c r="K36" t="n">
        <v>166.6796</v>
      </c>
      <c r="L36" t="n">
        <v>191.5557367172241</v>
      </c>
      <c r="M36" t="n">
        <v>181.0371344430106</v>
      </c>
      <c r="O36" t="inlineStr">
        <is>
          <t>1 sep</t>
        </is>
      </c>
      <c r="P36" t="n">
        <v>501.02</v>
      </c>
      <c r="Q36" t="n">
        <v>435.2328</v>
      </c>
      <c r="R36" t="n">
        <v>429.3825</v>
      </c>
      <c r="S36" t="n">
        <v>535.3375423278808</v>
      </c>
      <c r="T36" t="n">
        <v>509.8989698529924</v>
      </c>
    </row>
    <row r="37">
      <c r="A37" t="inlineStr">
        <is>
          <t>3 sep</t>
        </is>
      </c>
      <c r="B37" t="n">
        <v>40.04</v>
      </c>
      <c r="C37" t="n">
        <v>37.6767</v>
      </c>
      <c r="D37" t="n">
        <v>35.0679</v>
      </c>
      <c r="E37" t="n">
        <v>45.05751734733581</v>
      </c>
      <c r="F37" t="n">
        <v>43.73250225612095</v>
      </c>
      <c r="H37" t="inlineStr">
        <is>
          <t>3 sep</t>
        </is>
      </c>
      <c r="I37" t="n">
        <v>185.58</v>
      </c>
      <c r="J37" t="n">
        <v>160.3228</v>
      </c>
      <c r="K37" t="n">
        <v>166.5898</v>
      </c>
      <c r="L37" t="n">
        <v>191.5557367172241</v>
      </c>
      <c r="M37" t="n">
        <v>181.0371344430106</v>
      </c>
      <c r="O37" t="inlineStr">
        <is>
          <t>2 sep</t>
        </is>
      </c>
      <c r="P37" t="n">
        <v>496.82</v>
      </c>
      <c r="Q37" t="n">
        <v>437.7045</v>
      </c>
      <c r="R37" t="n">
        <v>429.3706</v>
      </c>
      <c r="S37" t="n">
        <v>535.3375423278808</v>
      </c>
      <c r="T37" t="n">
        <v>509.8989698529924</v>
      </c>
    </row>
    <row r="38">
      <c r="A38" t="inlineStr">
        <is>
          <t>4 sep</t>
        </is>
      </c>
      <c r="B38" t="n">
        <v>40.105</v>
      </c>
      <c r="C38" t="n">
        <v>37.8115</v>
      </c>
      <c r="D38" t="n">
        <v>35.113</v>
      </c>
      <c r="E38" t="n">
        <v>45.05751734733581</v>
      </c>
      <c r="F38" t="n">
        <v>43.73250225612095</v>
      </c>
      <c r="H38" t="inlineStr">
        <is>
          <t>4 sep</t>
        </is>
      </c>
      <c r="I38" t="n">
        <v>185.68</v>
      </c>
      <c r="J38" t="n">
        <v>161.3336</v>
      </c>
      <c r="K38" t="n">
        <v>166.5086</v>
      </c>
      <c r="L38" t="n">
        <v>191.5557367172241</v>
      </c>
      <c r="M38" t="n">
        <v>181.0371344430106</v>
      </c>
      <c r="O38" t="inlineStr">
        <is>
          <t>3 sep</t>
        </is>
      </c>
      <c r="P38" t="n">
        <v>510.12</v>
      </c>
      <c r="Q38" t="n">
        <v>440.6114</v>
      </c>
      <c r="R38" t="n">
        <v>429.3912</v>
      </c>
      <c r="S38" t="n">
        <v>535.3375423278808</v>
      </c>
      <c r="T38" t="n">
        <v>509.8989698529924</v>
      </c>
    </row>
    <row r="39">
      <c r="A39" t="inlineStr">
        <is>
          <t>7 sep</t>
        </is>
      </c>
      <c r="B39" t="n">
        <v>40.56</v>
      </c>
      <c r="C39" t="n">
        <v>37.9551</v>
      </c>
      <c r="D39" t="n">
        <v>35.1619</v>
      </c>
      <c r="E39" t="n">
        <v>45.05751734733581</v>
      </c>
      <c r="F39" t="n">
        <v>43.73250225612095</v>
      </c>
      <c r="H39" t="inlineStr">
        <is>
          <t>7 sep</t>
        </is>
      </c>
      <c r="I39" t="n">
        <v>182.8</v>
      </c>
      <c r="J39" t="n">
        <v>162.2568</v>
      </c>
      <c r="K39" t="n">
        <v>166.4122</v>
      </c>
      <c r="L39" t="n">
        <v>191.5557367172241</v>
      </c>
      <c r="M39" t="n">
        <v>181.0371344430106</v>
      </c>
      <c r="O39" t="inlineStr">
        <is>
          <t>4 sep</t>
        </is>
      </c>
      <c r="P39" t="n">
        <v>499.7</v>
      </c>
      <c r="Q39" t="n">
        <v>443.5621</v>
      </c>
      <c r="R39" t="n">
        <v>429.3729</v>
      </c>
      <c r="S39" t="n">
        <v>535.3375423278808</v>
      </c>
      <c r="T39" t="n">
        <v>509.8989698529924</v>
      </c>
    </row>
    <row r="40">
      <c r="A40" t="inlineStr">
        <is>
          <t>8 sep</t>
        </is>
      </c>
      <c r="B40" t="n">
        <v>40.855</v>
      </c>
      <c r="C40" t="n">
        <v>38.0977</v>
      </c>
      <c r="D40" t="n">
        <v>35.2131</v>
      </c>
      <c r="E40" t="n">
        <v>45.05751734733581</v>
      </c>
      <c r="F40" t="n">
        <v>43.73250225612095</v>
      </c>
      <c r="H40" t="inlineStr">
        <is>
          <t>8 sep</t>
        </is>
      </c>
      <c r="I40" t="n">
        <v>181.7</v>
      </c>
      <c r="J40" t="n">
        <v>163.2108</v>
      </c>
      <c r="K40" t="n">
        <v>166.3049</v>
      </c>
      <c r="L40" t="n">
        <v>191.5557367172241</v>
      </c>
      <c r="M40" t="n">
        <v>181.0371344430106</v>
      </c>
      <c r="O40" t="inlineStr">
        <is>
          <t>8 sep</t>
        </is>
      </c>
      <c r="P40" t="n">
        <v>493.95</v>
      </c>
      <c r="Q40" t="n">
        <v>445.9957</v>
      </c>
      <c r="R40" t="n">
        <v>429.3939</v>
      </c>
      <c r="S40" t="n">
        <v>535.3375423278808</v>
      </c>
      <c r="T40" t="n">
        <v>509.8989698529924</v>
      </c>
    </row>
    <row r="41">
      <c r="A41" t="inlineStr">
        <is>
          <t>9 sep</t>
        </is>
      </c>
      <c r="B41" t="n">
        <v>40.94</v>
      </c>
      <c r="C41" t="n">
        <v>38.2513</v>
      </c>
      <c r="D41" t="n">
        <v>35.2646</v>
      </c>
      <c r="E41" t="n">
        <v>45.05751734733581</v>
      </c>
      <c r="F41" t="n">
        <v>43.73250225612095</v>
      </c>
      <c r="H41" t="inlineStr">
        <is>
          <t>9 sep</t>
        </is>
      </c>
      <c r="I41" t="n">
        <v>182.86</v>
      </c>
      <c r="J41" t="n">
        <v>164.0504</v>
      </c>
      <c r="K41" t="n">
        <v>166.2113</v>
      </c>
      <c r="L41" t="n">
        <v>191.5557367172241</v>
      </c>
      <c r="M41" t="n">
        <v>181.0371344430106</v>
      </c>
      <c r="O41" t="inlineStr">
        <is>
          <t>9 sep</t>
        </is>
      </c>
      <c r="P41" t="n">
        <v>491.65</v>
      </c>
      <c r="Q41" t="n">
        <v>448.4712</v>
      </c>
      <c r="R41" t="n">
        <v>429.4364</v>
      </c>
      <c r="S41" t="n">
        <v>535.3375423278808</v>
      </c>
      <c r="T41" t="n">
        <v>509.8989698529924</v>
      </c>
    </row>
    <row r="42">
      <c r="A42" t="inlineStr">
        <is>
          <t>10 sep</t>
        </is>
      </c>
      <c r="B42" t="n">
        <v>41.23</v>
      </c>
      <c r="C42" t="n">
        <v>38.4034</v>
      </c>
      <c r="D42" t="n">
        <v>35.3174</v>
      </c>
      <c r="E42" t="n">
        <v>45.05751734733581</v>
      </c>
      <c r="F42" t="n">
        <v>43.73250225612095</v>
      </c>
      <c r="H42" t="inlineStr">
        <is>
          <t>10 sep</t>
        </is>
      </c>
      <c r="I42" t="n">
        <v>177.82</v>
      </c>
      <c r="J42" t="n">
        <v>164.7724</v>
      </c>
      <c r="K42" t="n">
        <v>166.0803</v>
      </c>
      <c r="L42" t="n">
        <v>191.5557367172241</v>
      </c>
      <c r="M42" t="n">
        <v>181.0371344430106</v>
      </c>
      <c r="O42" t="inlineStr">
        <is>
          <t>10 sep</t>
        </is>
      </c>
      <c r="P42" t="n">
        <v>492.44</v>
      </c>
      <c r="Q42" t="n">
        <v>450.8736</v>
      </c>
      <c r="R42" t="n">
        <v>429.5215</v>
      </c>
      <c r="S42" t="n">
        <v>535.3375423278808</v>
      </c>
      <c r="T42" t="n">
        <v>509.8989698529924</v>
      </c>
    </row>
    <row r="43">
      <c r="A43" t="inlineStr">
        <is>
          <t>11 sep</t>
        </is>
      </c>
      <c r="B43" t="n">
        <v>41.415</v>
      </c>
      <c r="C43" t="n">
        <v>38.5608</v>
      </c>
      <c r="D43" t="n">
        <v>35.3717</v>
      </c>
      <c r="E43" t="n">
        <v>45.05751734733581</v>
      </c>
      <c r="F43" t="n">
        <v>43.73250225612095</v>
      </c>
      <c r="H43" t="inlineStr">
        <is>
          <t>11 sep</t>
        </is>
      </c>
      <c r="I43" t="n">
        <v>177.26</v>
      </c>
      <c r="J43" t="n">
        <v>165.5248</v>
      </c>
      <c r="K43" t="n">
        <v>165.9594</v>
      </c>
      <c r="L43" t="n">
        <v>191.5557367172241</v>
      </c>
      <c r="M43" t="n">
        <v>181.0371344430106</v>
      </c>
      <c r="O43" t="inlineStr">
        <is>
          <t>11 sep</t>
        </is>
      </c>
      <c r="P43" t="n">
        <v>495.63</v>
      </c>
      <c r="Q43" t="n">
        <v>453.115</v>
      </c>
      <c r="R43" t="n">
        <v>429.654</v>
      </c>
      <c r="S43" t="n">
        <v>535.3375423278808</v>
      </c>
      <c r="T43" t="n">
        <v>509.8989698529924</v>
      </c>
    </row>
    <row r="44">
      <c r="A44" t="inlineStr">
        <is>
          <t>14 sep</t>
        </is>
      </c>
      <c r="B44" t="n">
        <v>41.91</v>
      </c>
      <c r="C44" t="n">
        <v>38.7226</v>
      </c>
      <c r="D44" t="n">
        <v>35.4269</v>
      </c>
      <c r="E44" t="n">
        <v>45.05751734733581</v>
      </c>
      <c r="F44" t="n">
        <v>43.73250225612095</v>
      </c>
      <c r="H44" t="inlineStr">
        <is>
          <t>14 sep</t>
        </is>
      </c>
      <c r="I44" t="n">
        <v>186.26</v>
      </c>
      <c r="J44" t="n">
        <v>166.4488</v>
      </c>
      <c r="K44" t="n">
        <v>165.8745</v>
      </c>
      <c r="L44" t="n">
        <v>191.5557367172241</v>
      </c>
      <c r="M44" t="n">
        <v>181.0371344430106</v>
      </c>
      <c r="O44" t="inlineStr">
        <is>
          <t>14 sep</t>
        </is>
      </c>
      <c r="P44" t="n">
        <v>505.41</v>
      </c>
      <c r="Q44" t="n">
        <v>455.4281</v>
      </c>
      <c r="R44" t="n">
        <v>429.8259</v>
      </c>
      <c r="S44" t="n">
        <v>535.3375423278808</v>
      </c>
      <c r="T44" t="n">
        <v>509.8989698529924</v>
      </c>
    </row>
    <row r="45">
      <c r="A45" t="inlineStr">
        <is>
          <t>15 sep</t>
        </is>
      </c>
      <c r="B45" t="n">
        <v>42.7</v>
      </c>
      <c r="C45" t="n">
        <v>38.8782</v>
      </c>
      <c r="D45" t="n">
        <v>35.4854</v>
      </c>
      <c r="E45" t="n">
        <v>45.05751734733581</v>
      </c>
      <c r="F45" t="n">
        <v>43.73250225612095</v>
      </c>
      <c r="H45" t="inlineStr">
        <is>
          <t>15 sep</t>
        </is>
      </c>
      <c r="I45" t="n">
        <v>187.08</v>
      </c>
      <c r="J45" t="n">
        <v>167.3124</v>
      </c>
      <c r="K45" t="n">
        <v>165.7921</v>
      </c>
      <c r="L45" t="n">
        <v>191.5557367172241</v>
      </c>
      <c r="M45" t="n">
        <v>181.0371344430106</v>
      </c>
      <c r="O45" t="inlineStr">
        <is>
          <t>15 sep</t>
        </is>
      </c>
      <c r="P45" t="n">
        <v>497.12</v>
      </c>
      <c r="Q45" t="n">
        <v>457.6502</v>
      </c>
      <c r="R45" t="n">
        <v>429.9416</v>
      </c>
      <c r="S45" t="n">
        <v>535.3375423278808</v>
      </c>
      <c r="T45" t="n">
        <v>509.8989698529924</v>
      </c>
    </row>
    <row r="46">
      <c r="A46" t="inlineStr">
        <is>
          <t>16 sep</t>
        </is>
      </c>
      <c r="B46" t="n">
        <v>41.825</v>
      </c>
      <c r="C46" t="n">
        <v>38.9989</v>
      </c>
      <c r="D46" t="n">
        <v>35.5403</v>
      </c>
      <c r="E46" t="n">
        <v>45.05751734733581</v>
      </c>
      <c r="F46" t="n">
        <v>43.73250225612095</v>
      </c>
      <c r="H46" t="inlineStr">
        <is>
          <t>16 sep</t>
        </is>
      </c>
      <c r="I46" t="n">
        <v>186.56</v>
      </c>
      <c r="J46" t="n">
        <v>168.2844</v>
      </c>
      <c r="K46" t="n">
        <v>165.6996</v>
      </c>
      <c r="L46" t="n">
        <v>191.5557367172241</v>
      </c>
      <c r="M46" t="n">
        <v>181.0371344430106</v>
      </c>
      <c r="O46" t="inlineStr">
        <is>
          <t>16 sep</t>
        </is>
      </c>
      <c r="P46" t="n">
        <v>490.3</v>
      </c>
      <c r="Q46" t="n">
        <v>459.694</v>
      </c>
      <c r="R46" t="n">
        <v>429.9809</v>
      </c>
      <c r="S46" t="n">
        <v>535.3375423278808</v>
      </c>
      <c r="T46" t="n">
        <v>509.8989698529924</v>
      </c>
    </row>
    <row r="47">
      <c r="A47" t="inlineStr">
        <is>
          <t>17 sep</t>
        </is>
      </c>
      <c r="B47" t="n">
        <v>41.56</v>
      </c>
      <c r="C47" t="n">
        <v>39.1225</v>
      </c>
      <c r="D47" t="n">
        <v>35.5926</v>
      </c>
      <c r="E47" t="n">
        <v>45.05751734733581</v>
      </c>
      <c r="F47" t="n">
        <v>43.73250225612095</v>
      </c>
      <c r="H47" t="inlineStr">
        <is>
          <t>17 sep</t>
        </is>
      </c>
      <c r="I47" t="n">
        <v>188</v>
      </c>
      <c r="J47" t="n">
        <v>169.2896</v>
      </c>
      <c r="K47" t="n">
        <v>165.6125</v>
      </c>
      <c r="L47" t="n">
        <v>191.5557367172241</v>
      </c>
      <c r="M47" t="n">
        <v>181.0371344430106</v>
      </c>
      <c r="O47" t="inlineStr">
        <is>
          <t>17 sep</t>
        </is>
      </c>
      <c r="P47" t="n">
        <v>497.75</v>
      </c>
      <c r="Q47" t="n">
        <v>461.9966</v>
      </c>
      <c r="R47" t="n">
        <v>430.0251</v>
      </c>
      <c r="S47" t="n">
        <v>535.3375423278808</v>
      </c>
      <c r="T47" t="n">
        <v>509.8989698529924</v>
      </c>
    </row>
    <row r="48">
      <c r="A48" t="inlineStr">
        <is>
          <t>18 sep</t>
        </is>
      </c>
      <c r="B48" t="n">
        <v>41.315</v>
      </c>
      <c r="C48" t="n">
        <v>39.2414</v>
      </c>
      <c r="D48" t="n">
        <v>35.6436</v>
      </c>
      <c r="E48" t="n">
        <v>45.05751734733581</v>
      </c>
      <c r="F48" t="n">
        <v>43.73250225612095</v>
      </c>
      <c r="H48" t="inlineStr">
        <is>
          <t>18 sep</t>
        </is>
      </c>
      <c r="I48" t="n">
        <v>183.12</v>
      </c>
      <c r="J48" t="n">
        <v>170.2004</v>
      </c>
      <c r="K48" t="n">
        <v>165.5062</v>
      </c>
      <c r="L48" t="n">
        <v>191.5557367172241</v>
      </c>
      <c r="M48" t="n">
        <v>181.0371344430106</v>
      </c>
      <c r="O48" t="inlineStr">
        <is>
          <t>18 sep</t>
        </is>
      </c>
      <c r="P48" t="n">
        <v>493.78</v>
      </c>
      <c r="Q48" t="n">
        <v>464.1995</v>
      </c>
      <c r="R48" t="n">
        <v>430.0757</v>
      </c>
      <c r="S48" t="n">
        <v>535.3375423278808</v>
      </c>
      <c r="T48" t="n">
        <v>509.8989698529924</v>
      </c>
    </row>
    <row r="49">
      <c r="A49" t="inlineStr">
        <is>
          <t>21 sep</t>
        </is>
      </c>
      <c r="B49" t="n">
        <v>40.775</v>
      </c>
      <c r="C49" t="n">
        <v>39.3341</v>
      </c>
      <c r="D49" t="n">
        <v>35.6939</v>
      </c>
      <c r="E49" t="n">
        <v>45.05751734733581</v>
      </c>
      <c r="F49" t="n">
        <v>43.73250225612095</v>
      </c>
      <c r="H49" t="inlineStr">
        <is>
          <t>21 sep</t>
        </is>
      </c>
      <c r="I49" t="n">
        <v>182.86</v>
      </c>
      <c r="J49" t="n">
        <v>171.0432</v>
      </c>
      <c r="K49" t="n">
        <v>165.4052</v>
      </c>
      <c r="L49" t="n">
        <v>191.5557367172241</v>
      </c>
      <c r="M49" t="n">
        <v>181.0371344430106</v>
      </c>
      <c r="O49" t="inlineStr">
        <is>
          <t>21 sep</t>
        </is>
      </c>
      <c r="P49" t="n">
        <v>501.61</v>
      </c>
      <c r="Q49" t="n">
        <v>466.5442</v>
      </c>
      <c r="R49" t="n">
        <v>430.1492</v>
      </c>
      <c r="S49" t="n">
        <v>535.3375423278808</v>
      </c>
      <c r="T49" t="n">
        <v>509.8989698529924</v>
      </c>
    </row>
    <row r="50">
      <c r="A50" t="inlineStr">
        <is>
          <t>22 sep</t>
        </is>
      </c>
      <c r="B50" t="n">
        <v>41.01</v>
      </c>
      <c r="C50" t="n">
        <v>39.4244</v>
      </c>
      <c r="D50" t="n">
        <v>35.746</v>
      </c>
      <c r="E50" t="n">
        <v>45.05751734733581</v>
      </c>
      <c r="F50" t="n">
        <v>43.73250225612095</v>
      </c>
      <c r="H50" t="inlineStr">
        <is>
          <t>22 sep</t>
        </is>
      </c>
      <c r="I50" t="n">
        <v>182.32</v>
      </c>
      <c r="J50" t="n">
        <v>171.9552</v>
      </c>
      <c r="K50" t="n">
        <v>165.2836</v>
      </c>
      <c r="L50" t="n">
        <v>191.5557367172241</v>
      </c>
      <c r="M50" t="n">
        <v>181.0371344430106</v>
      </c>
      <c r="O50" t="inlineStr">
        <is>
          <t>22 sep</t>
        </is>
      </c>
      <c r="P50" t="n">
        <v>498</v>
      </c>
      <c r="Q50" t="n">
        <v>468.699</v>
      </c>
      <c r="R50" t="n">
        <v>430.2656</v>
      </c>
      <c r="S50" t="n">
        <v>535.3375423278808</v>
      </c>
      <c r="T50" t="n">
        <v>509.8989698529924</v>
      </c>
    </row>
    <row r="51">
      <c r="A51" t="inlineStr">
        <is>
          <t>23 sep</t>
        </is>
      </c>
      <c r="B51" t="n">
        <v>41.69</v>
      </c>
      <c r="C51" t="n">
        <v>39.5272</v>
      </c>
      <c r="D51" t="n">
        <v>35.8024</v>
      </c>
      <c r="E51" t="n">
        <v>45.05751734733581</v>
      </c>
      <c r="F51" t="n">
        <v>43.73250225612095</v>
      </c>
      <c r="H51" t="inlineStr">
        <is>
          <t>23 sep</t>
        </is>
      </c>
      <c r="I51" t="n">
        <v>186.46</v>
      </c>
      <c r="J51" t="n">
        <v>172.9448</v>
      </c>
      <c r="K51" t="n">
        <v>165.1675</v>
      </c>
      <c r="L51" t="n">
        <v>191.5557367172241</v>
      </c>
      <c r="M51" t="n">
        <v>181.0371344430106</v>
      </c>
      <c r="O51" t="inlineStr">
        <is>
          <t>23 sep</t>
        </is>
      </c>
      <c r="P51" t="n">
        <v>500.59</v>
      </c>
      <c r="Q51" t="n">
        <v>471.0267</v>
      </c>
      <c r="R51" t="n">
        <v>430.3795</v>
      </c>
      <c r="S51" t="n">
        <v>535.3375423278808</v>
      </c>
      <c r="T51" t="n">
        <v>509.8989698529924</v>
      </c>
    </row>
    <row r="52">
      <c r="A52" t="inlineStr">
        <is>
          <t>24 sep</t>
        </is>
      </c>
      <c r="B52" t="n">
        <v>42.43</v>
      </c>
      <c r="C52" t="n">
        <v>39.6382</v>
      </c>
      <c r="D52" t="n">
        <v>35.8638</v>
      </c>
      <c r="E52" t="n">
        <v>45.05751734733581</v>
      </c>
      <c r="F52" t="n">
        <v>43.73250225612095</v>
      </c>
      <c r="H52" t="inlineStr">
        <is>
          <t>24 sep</t>
        </is>
      </c>
      <c r="I52" t="n">
        <v>184.18</v>
      </c>
      <c r="J52" t="n">
        <v>173.8756</v>
      </c>
      <c r="K52" t="n">
        <v>165.0554</v>
      </c>
      <c r="L52" t="n">
        <v>191.5557367172241</v>
      </c>
      <c r="M52" t="n">
        <v>181.0371344430106</v>
      </c>
      <c r="O52" t="inlineStr">
        <is>
          <t>24 sep</t>
        </is>
      </c>
      <c r="P52" t="n">
        <v>497.93</v>
      </c>
      <c r="Q52" t="n">
        <v>473.0876</v>
      </c>
      <c r="R52" t="n">
        <v>430.4686</v>
      </c>
      <c r="S52" t="n">
        <v>535.3375423278808</v>
      </c>
      <c r="T52" t="n">
        <v>509.8989698529924</v>
      </c>
    </row>
    <row r="53">
      <c r="A53" t="inlineStr">
        <is>
          <t>25 sep</t>
        </is>
      </c>
      <c r="B53" t="n">
        <v>42.06</v>
      </c>
      <c r="C53" t="n">
        <v>39.7263</v>
      </c>
      <c r="D53" t="n">
        <v>35.9239</v>
      </c>
      <c r="E53" t="n">
        <v>45.05751734733581</v>
      </c>
      <c r="F53" t="n">
        <v>43.73250225612095</v>
      </c>
      <c r="H53" t="inlineStr">
        <is>
          <t>25 sep</t>
        </is>
      </c>
      <c r="I53" t="n">
        <v>185.92</v>
      </c>
      <c r="J53" t="n">
        <v>174.8356</v>
      </c>
      <c r="K53" t="n">
        <v>164.9525</v>
      </c>
      <c r="L53" t="n">
        <v>191.5557367172241</v>
      </c>
      <c r="M53" t="n">
        <v>181.0371344430106</v>
      </c>
      <c r="O53" t="inlineStr">
        <is>
          <t>25 sep</t>
        </is>
      </c>
      <c r="P53" t="n">
        <v>516.17</v>
      </c>
      <c r="Q53" t="n">
        <v>475.4041</v>
      </c>
      <c r="R53" t="n">
        <v>430.6098</v>
      </c>
      <c r="S53" t="n">
        <v>535.3375423278808</v>
      </c>
      <c r="T53" t="n">
        <v>509.8989698529924</v>
      </c>
    </row>
    <row r="54">
      <c r="A54" t="inlineStr">
        <is>
          <t>28 sep</t>
        </is>
      </c>
      <c r="B54" t="n">
        <v>42.725</v>
      </c>
      <c r="C54" t="n">
        <v>39.8301</v>
      </c>
      <c r="D54" t="n">
        <v>35.9888</v>
      </c>
      <c r="E54" t="n">
        <v>45.05751734733581</v>
      </c>
      <c r="F54" t="n">
        <v>43.73250225612095</v>
      </c>
      <c r="H54" t="inlineStr">
        <is>
          <t>28 sep</t>
        </is>
      </c>
      <c r="I54" t="n">
        <v>184.02</v>
      </c>
      <c r="J54" t="n">
        <v>175.7508</v>
      </c>
      <c r="K54" t="n">
        <v>164.8355</v>
      </c>
      <c r="L54" t="n">
        <v>191.5557367172241</v>
      </c>
      <c r="M54" t="n">
        <v>181.0371344430106</v>
      </c>
      <c r="O54" t="inlineStr">
        <is>
          <t>28 sep</t>
        </is>
      </c>
      <c r="P54" t="n">
        <v>509.22</v>
      </c>
      <c r="Q54" t="n">
        <v>477.7269</v>
      </c>
      <c r="R54" t="n">
        <v>430.7113</v>
      </c>
      <c r="S54" t="n">
        <v>535.3375423278808</v>
      </c>
      <c r="T54" t="n">
        <v>509.8989698529924</v>
      </c>
    </row>
    <row r="55">
      <c r="A55" t="inlineStr">
        <is>
          <t>29 sep</t>
        </is>
      </c>
      <c r="B55" t="n">
        <v>42.05</v>
      </c>
      <c r="C55" t="n">
        <v>39.9146</v>
      </c>
      <c r="D55" t="n">
        <v>36.0498</v>
      </c>
      <c r="E55" t="n">
        <v>45.05751734733581</v>
      </c>
      <c r="F55" t="n">
        <v>43.73250225612095</v>
      </c>
      <c r="H55" t="inlineStr">
        <is>
          <t>29 sep</t>
        </is>
      </c>
      <c r="I55" t="n">
        <v>185.32</v>
      </c>
      <c r="J55" t="n">
        <v>176.7288</v>
      </c>
      <c r="K55" t="n">
        <v>164.733</v>
      </c>
      <c r="L55" t="n">
        <v>191.5557367172241</v>
      </c>
      <c r="M55" t="n">
        <v>181.0371344430106</v>
      </c>
      <c r="O55" t="inlineStr">
        <is>
          <t>29 sep</t>
        </is>
      </c>
      <c r="P55" t="n">
        <v>508.96</v>
      </c>
      <c r="Q55" t="n">
        <v>479.8754</v>
      </c>
      <c r="R55" t="n">
        <v>430.8784</v>
      </c>
      <c r="S55" t="n">
        <v>535.3375423278808</v>
      </c>
      <c r="T55" t="n">
        <v>509.8989698529924</v>
      </c>
    </row>
    <row r="56">
      <c r="A56" t="inlineStr">
        <is>
          <t>30 sep</t>
        </is>
      </c>
      <c r="B56" t="n">
        <v>41.91</v>
      </c>
      <c r="C56" t="n">
        <v>39.9874</v>
      </c>
      <c r="D56" t="n">
        <v>36.1135</v>
      </c>
      <c r="E56" t="n">
        <v>45.05751734733581</v>
      </c>
      <c r="F56" t="n">
        <v>43.73250225612095</v>
      </c>
      <c r="H56" t="inlineStr">
        <is>
          <t>30 sep</t>
        </is>
      </c>
      <c r="I56" t="n">
        <v>185.66</v>
      </c>
      <c r="J56" t="n">
        <v>177.8012</v>
      </c>
      <c r="K56" t="n">
        <v>164.6377</v>
      </c>
      <c r="L56" t="n">
        <v>191.5557367172241</v>
      </c>
      <c r="M56" t="n">
        <v>181.0371344430106</v>
      </c>
      <c r="O56" t="inlineStr">
        <is>
          <t>30 sep</t>
        </is>
      </c>
      <c r="P56" t="n">
        <v>512.9</v>
      </c>
      <c r="Q56" t="n">
        <v>482.1933</v>
      </c>
      <c r="R56" t="n">
        <v>431.0408</v>
      </c>
      <c r="S56" t="n">
        <v>535.3375423278808</v>
      </c>
      <c r="T56" t="n">
        <v>509.8989698529924</v>
      </c>
    </row>
    <row r="57">
      <c r="A57" t="inlineStr">
        <is>
          <t>1 okt</t>
        </is>
      </c>
      <c r="B57" t="n">
        <v>42.24</v>
      </c>
      <c r="C57" t="n">
        <v>40.0562</v>
      </c>
      <c r="D57" t="n">
        <v>36.1777</v>
      </c>
      <c r="E57" t="n">
        <v>45.05751734733581</v>
      </c>
      <c r="F57" t="n">
        <v>43.73250225612095</v>
      </c>
      <c r="H57" t="inlineStr">
        <is>
          <t>1 okt</t>
        </is>
      </c>
      <c r="I57" t="n">
        <v>186.74</v>
      </c>
      <c r="J57" t="n">
        <v>178.9696</v>
      </c>
      <c r="K57" t="n">
        <v>164.5407</v>
      </c>
      <c r="L57" t="n">
        <v>191.5557367172241</v>
      </c>
      <c r="M57" t="n">
        <v>181.0371344430106</v>
      </c>
      <c r="O57" t="inlineStr">
        <is>
          <t>1 okt</t>
        </is>
      </c>
      <c r="P57" t="n">
        <v>512.8</v>
      </c>
      <c r="Q57" t="n">
        <v>484.6572</v>
      </c>
      <c r="R57" t="n">
        <v>431.2272</v>
      </c>
      <c r="S57" t="n">
        <v>535.3375423278808</v>
      </c>
      <c r="T57" t="n">
        <v>509.8989698529924</v>
      </c>
    </row>
    <row r="58">
      <c r="A58" t="inlineStr">
        <is>
          <t>2 okt</t>
        </is>
      </c>
      <c r="B58" t="n">
        <v>42.4</v>
      </c>
      <c r="C58" t="n">
        <v>40.1364</v>
      </c>
      <c r="D58" t="n">
        <v>36.2422</v>
      </c>
      <c r="E58" t="n">
        <v>45.05751734733581</v>
      </c>
      <c r="F58" t="n">
        <v>43.73250225612095</v>
      </c>
      <c r="H58" t="inlineStr">
        <is>
          <t>2 okt</t>
        </is>
      </c>
      <c r="I58" t="n">
        <v>183.92</v>
      </c>
      <c r="J58" t="n">
        <v>179.844</v>
      </c>
      <c r="K58" t="n">
        <v>164.4442</v>
      </c>
      <c r="L58" t="n">
        <v>191.5557367172241</v>
      </c>
      <c r="M58" t="n">
        <v>181.0371344430106</v>
      </c>
      <c r="O58" t="inlineStr">
        <is>
          <t>2 okt</t>
        </is>
      </c>
      <c r="P58" t="n">
        <v>517.53</v>
      </c>
      <c r="Q58" t="n">
        <v>487.3905</v>
      </c>
      <c r="R58" t="n">
        <v>431.4557</v>
      </c>
      <c r="S58" t="n">
        <v>535.3375423278808</v>
      </c>
      <c r="T58" t="n">
        <v>509.8989698529924</v>
      </c>
    </row>
    <row r="59">
      <c r="A59" t="inlineStr">
        <is>
          <t>5 okt</t>
        </is>
      </c>
      <c r="B59" t="n">
        <v>42.865</v>
      </c>
      <c r="C59" t="n">
        <v>40.2347</v>
      </c>
      <c r="D59" t="n">
        <v>36.3069</v>
      </c>
      <c r="E59" t="n">
        <v>45.05751734733581</v>
      </c>
      <c r="F59" t="n">
        <v>43.73250225612095</v>
      </c>
      <c r="H59" t="inlineStr">
        <is>
          <t>5 okt</t>
        </is>
      </c>
      <c r="I59" t="n">
        <v>185.04</v>
      </c>
      <c r="J59" t="n">
        <v>180.5192</v>
      </c>
      <c r="K59" t="n">
        <v>164.3515</v>
      </c>
      <c r="L59" t="n">
        <v>191.5557367172241</v>
      </c>
      <c r="M59" t="n">
        <v>181.0371344430106</v>
      </c>
      <c r="O59" t="inlineStr">
        <is>
          <t>5 okt</t>
        </is>
      </c>
      <c r="P59" t="n">
        <v>525.1799999999999</v>
      </c>
      <c r="Q59" t="n">
        <v>490.2745</v>
      </c>
      <c r="R59" t="n">
        <v>431.7147</v>
      </c>
      <c r="S59" t="n">
        <v>535.3375423278808</v>
      </c>
      <c r="T59" t="n">
        <v>509.8989698529924</v>
      </c>
    </row>
    <row r="60">
      <c r="A60" t="inlineStr">
        <is>
          <t>6 okt</t>
        </is>
      </c>
      <c r="B60" t="n">
        <v>43.185</v>
      </c>
      <c r="C60" t="n">
        <v>40.349</v>
      </c>
      <c r="D60" t="n">
        <v>36.3726</v>
      </c>
      <c r="E60" t="n">
        <v>45.05751734733581</v>
      </c>
      <c r="F60" t="n">
        <v>43.73250225612095</v>
      </c>
      <c r="H60" t="inlineStr">
        <is>
          <t>6 okt</t>
        </is>
      </c>
      <c r="I60" t="n">
        <v>188.6</v>
      </c>
      <c r="J60" t="n">
        <v>181.1064</v>
      </c>
      <c r="K60" t="n">
        <v>164.2647</v>
      </c>
      <c r="L60" t="n">
        <v>191.5557367172241</v>
      </c>
      <c r="M60" t="n">
        <v>181.0371344430106</v>
      </c>
      <c r="O60" t="inlineStr">
        <is>
          <t>6 okt</t>
        </is>
      </c>
      <c r="P60" t="n">
        <v>529.3</v>
      </c>
      <c r="Q60" t="n">
        <v>493.0931</v>
      </c>
      <c r="R60" t="n">
        <v>431.9956</v>
      </c>
      <c r="S60" t="n">
        <v>535.3375423278808</v>
      </c>
      <c r="T60" t="n">
        <v>509.8989698529924</v>
      </c>
    </row>
    <row r="61">
      <c r="A61" t="inlineStr">
        <is>
          <t>7 okt</t>
        </is>
      </c>
      <c r="B61" t="n">
        <v>43.25</v>
      </c>
      <c r="C61" t="n">
        <v>40.4451</v>
      </c>
      <c r="D61" t="n">
        <v>36.4388</v>
      </c>
      <c r="E61" t="n">
        <v>45.05751734733581</v>
      </c>
      <c r="F61" t="n">
        <v>43.73250225612095</v>
      </c>
      <c r="H61" t="inlineStr">
        <is>
          <t>7 okt</t>
        </is>
      </c>
      <c r="I61" t="n">
        <v>187.62</v>
      </c>
      <c r="J61" t="n">
        <v>181.618</v>
      </c>
      <c r="K61" t="n">
        <v>164.1762</v>
      </c>
      <c r="L61" t="n">
        <v>191.5557367172241</v>
      </c>
      <c r="M61" t="n">
        <v>181.0371344430106</v>
      </c>
      <c r="O61" t="inlineStr">
        <is>
          <t>7 okt</t>
        </is>
      </c>
      <c r="P61" t="n">
        <v>529.76</v>
      </c>
      <c r="Q61" t="n">
        <v>495.8361</v>
      </c>
      <c r="R61" t="n">
        <v>432.2398</v>
      </c>
      <c r="S61" t="n">
        <v>535.3375423278808</v>
      </c>
      <c r="T61" t="n">
        <v>509.8989698529924</v>
      </c>
    </row>
    <row r="62">
      <c r="A62" t="inlineStr">
        <is>
          <t>8 okt</t>
        </is>
      </c>
      <c r="B62" t="n">
        <v>44.75</v>
      </c>
      <c r="C62" t="n">
        <v>40.5699</v>
      </c>
      <c r="D62" t="n">
        <v>36.5123</v>
      </c>
      <c r="E62" t="n">
        <v>45.05751734733581</v>
      </c>
      <c r="F62" t="n">
        <v>43.73250225612095</v>
      </c>
      <c r="H62" t="inlineStr">
        <is>
          <t>8 okt</t>
        </is>
      </c>
      <c r="I62" t="n">
        <v>184.62</v>
      </c>
      <c r="J62" t="n">
        <v>182.192</v>
      </c>
      <c r="K62" t="n">
        <v>164.074</v>
      </c>
      <c r="L62" t="n">
        <v>191.5557367172241</v>
      </c>
      <c r="M62" t="n">
        <v>181.0371344430106</v>
      </c>
      <c r="O62" t="inlineStr">
        <is>
          <t>8 okt</t>
        </is>
      </c>
      <c r="P62" t="n">
        <v>522.61</v>
      </c>
      <c r="Q62" t="n">
        <v>498.4921</v>
      </c>
      <c r="R62" t="n">
        <v>432.4385</v>
      </c>
      <c r="S62" t="n">
        <v>535.3375423278808</v>
      </c>
      <c r="T62" t="n">
        <v>509.8989698529924</v>
      </c>
    </row>
    <row r="63">
      <c r="A63" t="inlineStr">
        <is>
          <t>9 okt</t>
        </is>
      </c>
      <c r="B63" t="n">
        <v>45.035</v>
      </c>
      <c r="C63" t="n">
        <v>40.6842</v>
      </c>
      <c r="D63" t="n">
        <v>36.5866</v>
      </c>
      <c r="E63" t="n">
        <v>45.05751734733581</v>
      </c>
      <c r="F63" t="n">
        <v>43.73250225612095</v>
      </c>
      <c r="H63" t="inlineStr">
        <is>
          <t>9 okt</t>
        </is>
      </c>
      <c r="I63" t="n">
        <v>191.46</v>
      </c>
      <c r="J63" t="n">
        <v>182.8676</v>
      </c>
      <c r="K63" t="n">
        <v>164.0101</v>
      </c>
      <c r="L63" t="n">
        <v>191.5557367172241</v>
      </c>
      <c r="M63" t="n">
        <v>181.0371344430106</v>
      </c>
      <c r="O63" t="inlineStr">
        <is>
          <t>9 okt</t>
        </is>
      </c>
      <c r="P63" t="n">
        <v>535.0700000000001</v>
      </c>
      <c r="Q63" t="n">
        <v>500.1885</v>
      </c>
      <c r="R63" t="n">
        <v>432.7046</v>
      </c>
      <c r="S63" t="n">
        <v>535.3375423278808</v>
      </c>
      <c r="T63" t="n">
        <v>509.8989698529924</v>
      </c>
    </row>
    <row r="64">
      <c r="A64" t="inlineStr">
        <is>
          <t>12 okt</t>
        </is>
      </c>
      <c r="B64" t="n">
        <v>45.56</v>
      </c>
      <c r="C64" t="n">
        <v>40.8072</v>
      </c>
      <c r="D64" t="n">
        <v>36.6625</v>
      </c>
      <c r="E64" t="n">
        <v>45.05751734733581</v>
      </c>
      <c r="F64" t="n">
        <v>43.73250225612095</v>
      </c>
      <c r="H64" t="inlineStr">
        <is>
          <t>12 okt</t>
        </is>
      </c>
      <c r="I64" t="n">
        <v>194.46</v>
      </c>
      <c r="J64" t="n">
        <v>183.464</v>
      </c>
      <c r="K64" t="n">
        <v>163.9576</v>
      </c>
      <c r="L64" t="n">
        <v>191.5557367172241</v>
      </c>
      <c r="M64" t="n">
        <v>181.0371344430106</v>
      </c>
      <c r="O64" t="inlineStr">
        <is>
          <t>12 okt</t>
        </is>
      </c>
      <c r="P64" t="n">
        <v>541.15</v>
      </c>
      <c r="Q64" t="n">
        <v>501.7346</v>
      </c>
      <c r="R64" t="n">
        <v>432.9914</v>
      </c>
      <c r="S64" t="n">
        <v>535.3375423278808</v>
      </c>
      <c r="T64" t="n">
        <v>509.8989698529924</v>
      </c>
    </row>
    <row r="65">
      <c r="A65" t="inlineStr">
        <is>
          <t>13 okt</t>
        </is>
      </c>
      <c r="B65" t="n">
        <v>45.95</v>
      </c>
      <c r="C65" t="n">
        <v>40.9565</v>
      </c>
      <c r="D65" t="n">
        <v>36.7398</v>
      </c>
      <c r="E65" t="n">
        <v>45.05751734733581</v>
      </c>
      <c r="F65" t="n">
        <v>43.73250225612095</v>
      </c>
      <c r="H65" t="inlineStr">
        <is>
          <t>13 okt</t>
        </is>
      </c>
      <c r="I65" t="n">
        <v>197.28</v>
      </c>
      <c r="J65" t="n">
        <v>184.062</v>
      </c>
      <c r="K65" t="n">
        <v>163.9196</v>
      </c>
      <c r="L65" t="n">
        <v>191.5557367172241</v>
      </c>
      <c r="M65" t="n">
        <v>181.0371344430106</v>
      </c>
      <c r="O65" t="inlineStr">
        <is>
          <t>13 okt</t>
        </is>
      </c>
      <c r="P65" t="n">
        <v>543.45</v>
      </c>
      <c r="Q65" t="n">
        <v>502.8689</v>
      </c>
      <c r="R65" t="n">
        <v>433.2839</v>
      </c>
      <c r="S65" t="n">
        <v>535.3375423278808</v>
      </c>
      <c r="T65" t="n">
        <v>509.8989698529924</v>
      </c>
    </row>
    <row r="66">
      <c r="A66" t="inlineStr">
        <is>
          <t>14 okt</t>
        </is>
      </c>
      <c r="B66" t="n">
        <v>46.455</v>
      </c>
      <c r="C66" t="n">
        <v>41.125</v>
      </c>
      <c r="D66" t="n">
        <v>36.8183</v>
      </c>
      <c r="E66" t="n">
        <v>45.05751734733581</v>
      </c>
      <c r="F66" t="n">
        <v>43.73250225612095</v>
      </c>
      <c r="H66" t="inlineStr">
        <is>
          <t>14 okt</t>
        </is>
      </c>
      <c r="I66" t="n">
        <v>196.94</v>
      </c>
      <c r="J66" t="n">
        <v>184.6156</v>
      </c>
      <c r="K66" t="n">
        <v>163.9114</v>
      </c>
      <c r="L66" t="n">
        <v>191.5557367172241</v>
      </c>
      <c r="M66" t="n">
        <v>181.0371344430106</v>
      </c>
      <c r="O66" t="inlineStr">
        <is>
          <t>14 okt</t>
        </is>
      </c>
      <c r="P66" t="n">
        <v>533.6900000000001</v>
      </c>
      <c r="Q66" t="n">
        <v>503.705</v>
      </c>
      <c r="R66" t="n">
        <v>433.5292</v>
      </c>
      <c r="S66" t="n">
        <v>535.3375423278808</v>
      </c>
      <c r="T66" t="n">
        <v>509.8989698529924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2026-10-14T21:22:32Z</dcterms:created>
  <dcterms:modified xmlns:dcterms="http://purl.org/dc/terms/" xmlns:xsi="http://www.w3.org/2001/XMLSchema-instance" xsi:type="dcterms:W3CDTF">2026-10-14T21:22:33Z</dcterms:modified>
</cp:coreProperties>
</file>